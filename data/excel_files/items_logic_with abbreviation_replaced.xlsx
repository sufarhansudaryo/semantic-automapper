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ufarhansudaryo/Documents/Work/semantic-automapper/data/excel_files/"/>
    </mc:Choice>
  </mc:AlternateContent>
  <xr:revisionPtr revIDLastSave="0" documentId="13_ncr:1_{F7E64ACA-5173-7343-A043-93EC4DB69081}" xr6:coauthVersionLast="47" xr6:coauthVersionMax="47" xr10:uidLastSave="{00000000-0000-0000-0000-000000000000}"/>
  <bookViews>
    <workbookView xWindow="2260" yWindow="22380" windowWidth="34200" windowHeight="19680" firstSheet="1" activeTab="13" xr2:uid="{00000000-000D-0000-FFFF-FFFF00000000}"/>
  </bookViews>
  <sheets>
    <sheet name="Bolt Matrix" sheetId="1" r:id="rId1"/>
    <sheet name="Strand Matrix" sheetId="2" r:id="rId2"/>
    <sheet name="Cable Matrix" sheetId="3" r:id="rId3"/>
    <sheet name="DYWI-GRiP" sheetId="4" r:id="rId4"/>
    <sheet name="Plate Matrix" sheetId="5" r:id="rId5"/>
    <sheet name="Butterfly" sheetId="6" r:id="rId6"/>
    <sheet name="Dragonfly" sheetId="7" r:id="rId7"/>
    <sheet name="W-Strap Codes" sheetId="8" r:id="rId8"/>
    <sheet name="Friction Bolts" sheetId="9" r:id="rId9"/>
    <sheet name="Mesh Matrix" sheetId="10" r:id="rId10"/>
    <sheet name="Dollies &amp; Spanners Coal" sheetId="11" r:id="rId11"/>
    <sheet name="Dollies &amp; Spanners Hardrock" sheetId="12" r:id="rId12"/>
    <sheet name="Resin anchors" sheetId="13" r:id="rId13"/>
    <sheet name="Bits for catalogue" sheetId="14" r:id="rId14"/>
    <sheet name="Mine Hanger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3" l="1"/>
  <c r="A2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Mackaway, Steve</author>
  </authors>
  <commentList>
    <comment ref="K24" authorId="0" shapeId="0" xr:uid="{00000000-0006-0000-0E00-000001000000}">
      <text>
        <r>
          <rPr>
            <sz val="12"/>
            <color theme="1"/>
            <rFont val="Aptos Narrow"/>
            <family val="2"/>
            <scheme val="minor"/>
          </rPr>
          <t xml:space="preserve">Mackaway, Steve:
Old part number now 32177469 for 8mm plate
</t>
        </r>
      </text>
    </comment>
  </commentList>
</comments>
</file>

<file path=xl/sharedStrings.xml><?xml version="1.0" encoding="utf-8"?>
<sst xmlns="http://schemas.openxmlformats.org/spreadsheetml/2006/main" count="1926" uniqueCount="1076">
  <si>
    <t>Item No.</t>
  </si>
  <si>
    <t xml:space="preserve"> Bolt Type Code</t>
  </si>
  <si>
    <t>6 = 16mm 2 = 20mm 4 = 24mm 5 = 24mm D-Bar</t>
  </si>
  <si>
    <t>Length</t>
  </si>
  <si>
    <t>Mixing System &amp; Accessories</t>
  </si>
  <si>
    <t xml:space="preserve">Galvanised = Galvanised, Thermal Diffused = Thermal Diffused, Thermal Metal Spray = Thermal Metal Spray, Plas coating = Plas coating, </t>
  </si>
  <si>
    <t>Packaging</t>
  </si>
  <si>
    <t>Sale location</t>
  </si>
  <si>
    <t>Description 1</t>
  </si>
  <si>
    <t>Description 2</t>
  </si>
  <si>
    <t>AS4150DFP2M050</t>
  </si>
  <si>
    <t>Standard Strength Steel</t>
  </si>
  <si>
    <t>DFP2M</t>
  </si>
  <si>
    <t>050</t>
  </si>
  <si>
    <t>BOLT Standard Strength Steel 24X1500 C/W AF,BALL</t>
  </si>
  <si>
    <t>PIN NUT M_K, NO 5X50</t>
  </si>
  <si>
    <t>AH4060DFP2MG050</t>
  </si>
  <si>
    <t>High Strength Steel</t>
  </si>
  <si>
    <t>060</t>
  </si>
  <si>
    <t>Galvanised</t>
  </si>
  <si>
    <t>BOLT GRD HIGH 24mmX0.6M GALV</t>
  </si>
  <si>
    <t>AF/BALL/PIN NUT M_K, NO 5X50</t>
  </si>
  <si>
    <t>AT4150DFP2H030E</t>
  </si>
  <si>
    <t>HSA840 Steel</t>
  </si>
  <si>
    <t>DFP2H</t>
  </si>
  <si>
    <t>030</t>
  </si>
  <si>
    <t>BOLT HSA840 Steel 24X1500 C/W AF,BALL</t>
  </si>
  <si>
    <t>PIN NUT H_K, NO 5X30 EACH WAY</t>
  </si>
  <si>
    <t>ATR4210DTP2H050</t>
  </si>
  <si>
    <t>HSA840 Steel steel with High Rib</t>
  </si>
  <si>
    <t>BOLT HSA840 Steel steel with High Rib 24X2100 BALL,AF,PIN</t>
  </si>
  <si>
    <t>H_K PIN-NO 5X50 O/WAY HSAC840</t>
  </si>
  <si>
    <t>AX4180DFP2H050</t>
  </si>
  <si>
    <t>Extra High Strength Steel</t>
  </si>
  <si>
    <t>BOLT 1800X24MM C/W DOME+AF+NUT</t>
  </si>
  <si>
    <t>PIN H_K, NO 5X50 ONE WAY</t>
  </si>
  <si>
    <t>AXR4180DFP2H050</t>
  </si>
  <si>
    <t>Extra High Strength Steel steel with High Rib</t>
  </si>
  <si>
    <t>BOLT Extra High Strength Steel steel with High Rib 24X1800 AF/BALL/NUT</t>
  </si>
  <si>
    <t>PIN H_K , HIGH RIB,  No 5 x 50</t>
  </si>
  <si>
    <t>CS4180K5S550</t>
  </si>
  <si>
    <t>Solid Deformed Bar</t>
  </si>
  <si>
    <t>K5S</t>
  </si>
  <si>
    <t>BOLT Solid Deformed Bar 24X1800 SLOT D/BAR</t>
  </si>
  <si>
    <t>NO FITTINGS, 5X50 ONE WAY</t>
  </si>
  <si>
    <t>CS5240DFP3HHLH050E</t>
  </si>
  <si>
    <t>DFP3HHLH</t>
  </si>
  <si>
    <t>050E</t>
  </si>
  <si>
    <t>BOLT Solid Deformed Bar 24X2400 L/H 1UNC 150MM THD</t>
  </si>
  <si>
    <t>1XSHK /B0505026 /AF -NO5 X 50 EWAY</t>
  </si>
  <si>
    <t>CS1615DFP3E550E</t>
  </si>
  <si>
    <t>DFP3</t>
  </si>
  <si>
    <t>E550E</t>
  </si>
  <si>
    <t>BOLT Solid Deformed Bar 1500X18 D/BAR C/W AF</t>
  </si>
  <si>
    <t>EXPORT BUNDLING, 5 X 50 E/W</t>
  </si>
  <si>
    <t>DCS3003008LH</t>
  </si>
  <si>
    <t>Double Corrosion Protection Steel bell</t>
  </si>
  <si>
    <t>3008LH</t>
  </si>
  <si>
    <t>DCP BOLT STEEL 3000 300/80 L/H</t>
  </si>
  <si>
    <t>THD ASSY C/W EXPAN SHELL</t>
  </si>
  <si>
    <t>DGB4240DFPHHWA</t>
  </si>
  <si>
    <t>VB Dynamic Bolt</t>
  </si>
  <si>
    <t>DFPHH</t>
  </si>
  <si>
    <t>Perth</t>
  </si>
  <si>
    <t xml:space="preserve">BOLT VB 2400X24 VB Dynamic Bolt DYNAMIC </t>
  </si>
  <si>
    <t>C/W SHK-PIN NUT</t>
  </si>
  <si>
    <t>PCS5225DFP3HHLHP5TSP</t>
  </si>
  <si>
    <t>Paddle Bolt D/Bar</t>
  </si>
  <si>
    <t>DFP3HH</t>
  </si>
  <si>
    <t>TSP</t>
  </si>
  <si>
    <t>BOLT PADDLE P5 D/BAR 24X2250 300LH, 1 UNC,</t>
  </si>
  <si>
    <t>1xSHK PIN,AF,BALL THERMAL SPRAY+PLAS COAT</t>
  </si>
  <si>
    <t>EB4180K5WA</t>
  </si>
  <si>
    <t>Eye bolt</t>
  </si>
  <si>
    <t>BOLT Eye bolt 24X1800 EYEBOLT - Perth</t>
  </si>
  <si>
    <t>NO FITTINGS</t>
  </si>
  <si>
    <t>TB2220DFPHHP10B</t>
  </si>
  <si>
    <t>TB</t>
  </si>
  <si>
    <t>DFPHHP10</t>
  </si>
  <si>
    <t>Brisbane</t>
  </si>
  <si>
    <t>BOLT TB 20X2200 BALL YELLOW AF</t>
  </si>
  <si>
    <t>SHK-PIN NUT/POSI-1.1</t>
  </si>
  <si>
    <t>WT2240DFPGB</t>
  </si>
  <si>
    <t>Threadbar Wiggle Bolt</t>
  </si>
  <si>
    <t>DFP</t>
  </si>
  <si>
    <t>BOLT WRIGGLE T/BAR 2400x20 GAL</t>
  </si>
  <si>
    <t>AF/BALL/OZNUT YELL, 5X50 E/WAY</t>
  </si>
  <si>
    <t>PCS5225DFP3HHLHP5TDP</t>
  </si>
  <si>
    <t>AT4240DFP2HTD050</t>
  </si>
  <si>
    <t/>
  </si>
  <si>
    <t>AT4240DFP2HTDP050</t>
  </si>
  <si>
    <t>DPF2H</t>
  </si>
  <si>
    <t>TDP</t>
  </si>
  <si>
    <t xml:space="preserve"> Cable Diameter</t>
  </si>
  <si>
    <t>EULA420A4</t>
  </si>
  <si>
    <t>EziTen 21.8mm plain Ultra Strand</t>
  </si>
  <si>
    <t>A4</t>
  </si>
  <si>
    <t>EZI-TEN ULTRA STRAND BOLT 4.2M</t>
  </si>
  <si>
    <t>C/W EZIJACKM42088 + CRADLE</t>
  </si>
  <si>
    <t>EULN410A6</t>
  </si>
  <si>
    <t>EziTen 21.8mm Indented Ultra Strand</t>
  </si>
  <si>
    <t>A6</t>
  </si>
  <si>
    <t>EZI-TEN ULTRA STRAND BOLT 4.1M</t>
  </si>
  <si>
    <t>C/W EULA6-017669 + CRADLE</t>
  </si>
  <si>
    <t>HTC8N2B062025C</t>
  </si>
  <si>
    <t>28mm Titan Hollow Indented Cable</t>
  </si>
  <si>
    <t>2B</t>
  </si>
  <si>
    <t>25C</t>
  </si>
  <si>
    <t>TITAN HOLLOW IND CABLE 28mm X 6.2MTR</t>
  </si>
  <si>
    <t>INDENTED 2 X 36mm BULBS/MTR PK25</t>
  </si>
  <si>
    <t>HTC8P2B062025C</t>
  </si>
  <si>
    <t>28mm Titan Hollow Plain Cable</t>
  </si>
  <si>
    <t>TITAN HOLLOW PLAIN CABLE 28mm X 6.2MTR</t>
  </si>
  <si>
    <t>PLAIN 2 X 36MM BULBS/MTR PK25</t>
  </si>
  <si>
    <t>ULA410W50C</t>
  </si>
  <si>
    <t>21.8mm Ultra Strand</t>
  </si>
  <si>
    <t>W</t>
  </si>
  <si>
    <t>50C</t>
  </si>
  <si>
    <t>ULTRA STRAND BOLT 21.8mmX4.1M</t>
  </si>
  <si>
    <t>C/W WELDED END (50 IN CRADLE)</t>
  </si>
  <si>
    <t>ULA410W50CBLW</t>
  </si>
  <si>
    <t>50CBLW</t>
  </si>
  <si>
    <t>C/W WELDED END, BARREL &amp; WEDGE</t>
  </si>
  <si>
    <t>ULN410W50C</t>
  </si>
  <si>
    <t>21.8mm Indented Ultra Strand Cable</t>
  </si>
  <si>
    <t>ULTRA STRAND IND 21.8mmX4.1M</t>
  </si>
  <si>
    <t>SQ DRV,WELD ENDS(50 IN CRADLE)</t>
  </si>
  <si>
    <t>ULN410W50CBLW</t>
  </si>
  <si>
    <t>SQ DRV,WELD ENDS, BARREL&amp;WEDGE</t>
  </si>
  <si>
    <t>Part Number</t>
  </si>
  <si>
    <t>Designator Cable Bolt = Cable Bolt Coil Pack = Coil Pack</t>
  </si>
  <si>
    <t>No of Strands</t>
  </si>
  <si>
    <t>Bulbs Per Meter</t>
  </si>
  <si>
    <t>Bulbing type</t>
  </si>
  <si>
    <t>CABLE DIAMETER</t>
  </si>
  <si>
    <t>Cable Length</t>
  </si>
  <si>
    <t>Tail Type</t>
  </si>
  <si>
    <t>Tail Length</t>
  </si>
  <si>
    <t>Coating &amp; Fixtures</t>
  </si>
  <si>
    <t>Freight element</t>
  </si>
  <si>
    <t>Production Query</t>
  </si>
  <si>
    <t>Description</t>
  </si>
  <si>
    <t>CBD1B040DT05WA</t>
  </si>
  <si>
    <t xml:space="preserve">Cable Bolt </t>
  </si>
  <si>
    <t>D</t>
  </si>
  <si>
    <t>040</t>
  </si>
  <si>
    <t>T</t>
  </si>
  <si>
    <t>05</t>
  </si>
  <si>
    <t>Freight Cost</t>
  </si>
  <si>
    <t>C/BLT TWIN STRAND BULBED 4.0M</t>
  </si>
  <si>
    <t>DOUBLE TAIL 0.5M STRAIGHT Freight Cost</t>
  </si>
  <si>
    <t>CBD1B050DT05WA</t>
  </si>
  <si>
    <t>C/BLT TWIN STRAND BULBED 5.0M</t>
  </si>
  <si>
    <t>CBD1B055DC05WA</t>
  </si>
  <si>
    <t>055</t>
  </si>
  <si>
    <t>C</t>
  </si>
  <si>
    <t>C/BLT TWIN STRAND BULBED 5.5M</t>
  </si>
  <si>
    <t>DOUBLE TAIL 0.5M COILED Freight Cost</t>
  </si>
  <si>
    <t>CBD1B060DC05</t>
  </si>
  <si>
    <t>C/BLT TWIN STRAND BULBED 6.0M</t>
  </si>
  <si>
    <t>DOUBLE TAIL 0.5M COILED</t>
  </si>
  <si>
    <t>CBD1B063DC05B</t>
  </si>
  <si>
    <t>063</t>
  </si>
  <si>
    <t>C/BLT TWIN STRAND M/CAGE 5.0M</t>
  </si>
  <si>
    <t>SINGLE TAIL 0.5M COILED</t>
  </si>
  <si>
    <t>CBD1B063DC03DBRD</t>
  </si>
  <si>
    <t>03</t>
  </si>
  <si>
    <t>Debonding Tube</t>
  </si>
  <si>
    <t>Refer Drawing</t>
  </si>
  <si>
    <t>C/BLT T/S BULB 6.3M DEBONDED</t>
  </si>
  <si>
    <t>TUBE 2MTR DBL TAIL 0.3M COIL</t>
  </si>
  <si>
    <t>CBD1B063DC05GTBT</t>
  </si>
  <si>
    <t>GTBT</t>
  </si>
  <si>
    <t>C/BOLT 1B/M 6.3M D/TAIL 0.05M COILED</t>
  </si>
  <si>
    <t>C/W GROUT &amp; Brisbane/TUBE</t>
  </si>
  <si>
    <t>CBD1B065DC10WA</t>
  </si>
  <si>
    <t>065</t>
  </si>
  <si>
    <t>C/BLT TWIN STRAND BULBED 6.5M</t>
  </si>
  <si>
    <t>DOUBLE TAIL 1.0M COILED Freight Cost</t>
  </si>
  <si>
    <t>CBD1B090DC05GWA</t>
  </si>
  <si>
    <t>090</t>
  </si>
  <si>
    <t>C/BLT TWIN STRAND BULBED 9.0M</t>
  </si>
  <si>
    <t>DOUBLE TAIL 0.5M COILED GAL Freight Cost</t>
  </si>
  <si>
    <t>CBD2B093DC05B</t>
  </si>
  <si>
    <t>093</t>
  </si>
  <si>
    <t>C/BLT TWIN STRAND BULBED 9.3M</t>
  </si>
  <si>
    <t>DOUBLE TAIL 0.5M COILED 2B/M BRI</t>
  </si>
  <si>
    <t>CBD5B080DC20RD</t>
  </si>
  <si>
    <t>080</t>
  </si>
  <si>
    <t>C/BLT TWIN STRAND BULBED 8.0M</t>
  </si>
  <si>
    <t>DOUBLE TAIL 2.0M COILED</t>
  </si>
  <si>
    <t>CBD5B120SC03RD</t>
  </si>
  <si>
    <t>S</t>
  </si>
  <si>
    <t>C/BLT TWIN STRAND BULBED 12.0M</t>
  </si>
  <si>
    <t>SINGLE TAIL 0.3M COILED</t>
  </si>
  <si>
    <t>CBDP060DCWA</t>
  </si>
  <si>
    <t>P</t>
  </si>
  <si>
    <t xml:space="preserve">C/BOLT TWIN STRAND PLAIN 6.0M COILED </t>
  </si>
  <si>
    <t>CBS1B040SC05WA</t>
  </si>
  <si>
    <t>C/BLT SINGLE STRAND BULBED 4.0M</t>
  </si>
  <si>
    <t>SINGLE TAIL 0.5M COILED Freight Cost</t>
  </si>
  <si>
    <t>CBS2B060SC05B</t>
  </si>
  <si>
    <t>C/BLT BULBED 6.0M SINGLE STRAND</t>
  </si>
  <si>
    <t>SINGLE TAIL 0.5M COILED 2B/M BRI</t>
  </si>
  <si>
    <t>CBSP065CGWA</t>
  </si>
  <si>
    <t>C/BOLT SINGLE STRAND PLAIN 6.5M</t>
  </si>
  <si>
    <t>GALV COILED C/W FISH HOOK Freight Cost</t>
  </si>
  <si>
    <t>CABOLT1B500CQ</t>
  </si>
  <si>
    <t>Coil Pack</t>
  </si>
  <si>
    <t>Steel Aglet</t>
  </si>
  <si>
    <t>CABLEBOLT PACK 500M BULBED</t>
  </si>
  <si>
    <t>COILED 15.2 STRAND STEEL AGLET</t>
  </si>
  <si>
    <t>CABOLT1B600CNWA</t>
  </si>
  <si>
    <t>NWA</t>
  </si>
  <si>
    <t>CABLEBOLT PACK 600M BULBED</t>
  </si>
  <si>
    <t>COILED 15.2 STRAND Freight Cost SEA FREIGHT</t>
  </si>
  <si>
    <t>CABLEBOLT PACK 500M 1BULB/MTR</t>
  </si>
  <si>
    <t>COILED 15.2 STRAND -Refer Drawing</t>
  </si>
  <si>
    <t>CABOLT2B550CWARD</t>
  </si>
  <si>
    <t>CABLEBOLT PACK 550M 2 BULB/MTR</t>
  </si>
  <si>
    <t>COILED 15.2 STRAND Freight Cost -Refer Drawing</t>
  </si>
  <si>
    <t>600</t>
  </si>
  <si>
    <t>CABLEBOLT PACK 600M 1BULB/MTR</t>
  </si>
  <si>
    <t>COILED 15.2 STRAND</t>
  </si>
  <si>
    <t>CABOLTP600CQ</t>
  </si>
  <si>
    <t>CABLEBOLT PACK 600M PLAIN</t>
  </si>
  <si>
    <t>COILED 15.2MM SINGLE STR - (STEEL AGLET)</t>
  </si>
  <si>
    <t>CABOLTP700CGWA</t>
  </si>
  <si>
    <t>CABLEBOLT PACK 700M PLAIN GALV Freight Cost</t>
  </si>
  <si>
    <t>15.2MM SINGLE STRND, ON PALLET</t>
  </si>
  <si>
    <t>CABOLTP178600CWA</t>
  </si>
  <si>
    <t>Navision Code</t>
  </si>
  <si>
    <t>Material</t>
  </si>
  <si>
    <t>Type</t>
  </si>
  <si>
    <t>Diameter</t>
  </si>
  <si>
    <t>Tensile Strength</t>
  </si>
  <si>
    <t>Mixing System Breakout</t>
  </si>
  <si>
    <t>Freight</t>
  </si>
  <si>
    <t>FGB20R0120T15H</t>
  </si>
  <si>
    <t>Glass Reinforced Plastic</t>
  </si>
  <si>
    <t>Bolt without continuous thread</t>
  </si>
  <si>
    <t>20R</t>
  </si>
  <si>
    <t>T15</t>
  </si>
  <si>
    <t>H</t>
  </si>
  <si>
    <t>BOLT F/GLASS 20MMX1.8M 20T</t>
  </si>
  <si>
    <t>C/W HIGH BREAKOUT BLACKNUT</t>
  </si>
  <si>
    <t>FGD22R120T20H</t>
  </si>
  <si>
    <t>Dowel with continuous thread</t>
  </si>
  <si>
    <t>22R</t>
  </si>
  <si>
    <t>T20</t>
  </si>
  <si>
    <t xml:space="preserve">DOWEL F/GLASS 22X1200MM </t>
  </si>
  <si>
    <t>R/H 20T C/W HIGH BREAKOUT NUT</t>
  </si>
  <si>
    <t>FGD22R120T30H</t>
  </si>
  <si>
    <t>T30</t>
  </si>
  <si>
    <t>DOWEL F/GLASS 22X1200MM R/H 30T</t>
  </si>
  <si>
    <t>C/W HIGH Bolt without continuous thread/OUT NUT WHITE</t>
  </si>
  <si>
    <t>FGD32R150T40H</t>
  </si>
  <si>
    <t>32R</t>
  </si>
  <si>
    <t>T40</t>
  </si>
  <si>
    <t>DOWEL F/GLASS 32X1500 R/H 40T</t>
  </si>
  <si>
    <t>C/W HIGH BREAKOUT NUT PAL X 500</t>
  </si>
  <si>
    <t>Plate Type Code</t>
  </si>
  <si>
    <t>Size Code</t>
  </si>
  <si>
    <t>Thickness Code</t>
  </si>
  <si>
    <t>Hole Diameter in mm</t>
  </si>
  <si>
    <t>ACCESSORIES</t>
  </si>
  <si>
    <t>Finish</t>
  </si>
  <si>
    <t>D1010136</t>
  </si>
  <si>
    <t>Dome plate</t>
  </si>
  <si>
    <t xml:space="preserve">WASH DOME I00X100X8 36H </t>
  </si>
  <si>
    <t>WASHER</t>
  </si>
  <si>
    <t>D1010136G</t>
  </si>
  <si>
    <t>WASH DOME I00X100X8 36H GALV</t>
  </si>
  <si>
    <t>D1010136B</t>
  </si>
  <si>
    <t>PLATE DOME I00X100X8 36H</t>
  </si>
  <si>
    <t>PACK FOR BRI</t>
  </si>
  <si>
    <t>D1010136T200</t>
  </si>
  <si>
    <t>T200</t>
  </si>
  <si>
    <t>PALLET X 2000, WIRE TIED X 10</t>
  </si>
  <si>
    <t>D1212435GWA</t>
  </si>
  <si>
    <t>Freight included to Perth</t>
  </si>
  <si>
    <t xml:space="preserve">WASH DOME 120X120X4 35H </t>
  </si>
  <si>
    <t xml:space="preserve">GALV </t>
  </si>
  <si>
    <t>D1515230GWA</t>
  </si>
  <si>
    <t>WASH DOME 150X150X10 30H GALV</t>
  </si>
  <si>
    <t>D1515340XB</t>
  </si>
  <si>
    <t>Bundled for Galvanisining</t>
  </si>
  <si>
    <t>WASH DOME 150X150X12 40H</t>
  </si>
  <si>
    <t>FOR GALVO</t>
  </si>
  <si>
    <t>D15153402H</t>
  </si>
  <si>
    <t>2H</t>
  </si>
  <si>
    <t>WASH DOME 150X150X12 40H C/W</t>
  </si>
  <si>
    <t>2 X GROUT HOLE</t>
  </si>
  <si>
    <t>D1515350SS316</t>
  </si>
  <si>
    <t>Stainless Steel</t>
  </si>
  <si>
    <t>WASH DOME 150x150x12 50 HOLE</t>
  </si>
  <si>
    <t>STAINLESS STEEL</t>
  </si>
  <si>
    <t>D1515549H10SS316</t>
  </si>
  <si>
    <t>H10</t>
  </si>
  <si>
    <t xml:space="preserve">PLATE DOME HANDLE BAR 150X150X5MM </t>
  </si>
  <si>
    <t>C/W 49MM HOLE, 10MM HANDLES Stainless Steel</t>
  </si>
  <si>
    <t>D170MESHN24</t>
  </si>
  <si>
    <t>170MESH</t>
  </si>
  <si>
    <t>N24</t>
  </si>
  <si>
    <t>PLATE DOME MESHING</t>
  </si>
  <si>
    <t>C/W Rumbled/HAND THD 24MM NUT</t>
  </si>
  <si>
    <t>FCB15151H219</t>
  </si>
  <si>
    <t>Flat with extra hole</t>
  </si>
  <si>
    <t>H219</t>
  </si>
  <si>
    <t>PLATE FLAT 150X150X8MM 2X19D</t>
  </si>
  <si>
    <t>HOLES</t>
  </si>
  <si>
    <t>FCB15153H119WA</t>
  </si>
  <si>
    <t>H119</t>
  </si>
  <si>
    <t>PLATE FLAT 150X150X12MM 1X 19D</t>
  </si>
  <si>
    <t>HOLE -Freight included to Perth</t>
  </si>
  <si>
    <t>FCB15153H222GWA</t>
  </si>
  <si>
    <t>H222</t>
  </si>
  <si>
    <t>WASH FLAT 150X150X12 Freight included to Perth 2X22D</t>
  </si>
  <si>
    <t>HOLES @ 48MM CENTRES -GALV Freight included to Perth</t>
  </si>
  <si>
    <t>FCB30302H222GWA</t>
  </si>
  <si>
    <t>PLATE FLAT 300X300X10MM 2X 22D</t>
  </si>
  <si>
    <t>HOLES GAL Freight included to Perth</t>
  </si>
  <si>
    <t>F1010122G</t>
  </si>
  <si>
    <t xml:space="preserve">Flat </t>
  </si>
  <si>
    <t>WASH FLAT 100X100X8 22H GALV</t>
  </si>
  <si>
    <t>F1515226H</t>
  </si>
  <si>
    <t>WASH FLAT 150X150X10 C/W 26MM HOLE</t>
  </si>
  <si>
    <t>F20201630GWA</t>
  </si>
  <si>
    <t>PLATE FLAT  200x200x16mm GALV</t>
  </si>
  <si>
    <t>30mm CENTRE HOLE</t>
  </si>
  <si>
    <t>F2020350</t>
  </si>
  <si>
    <t>PLATE FLAT 200X200X12 c/w50mm</t>
  </si>
  <si>
    <t>DIA CENTRE HOLE</t>
  </si>
  <si>
    <t>STP150539</t>
  </si>
  <si>
    <t>Star plate</t>
  </si>
  <si>
    <t>WASH STARPLATE 150x5 39H</t>
  </si>
  <si>
    <t>STP150539GWA</t>
  </si>
  <si>
    <t>WASH STARPLATE 150x5 39H GALV</t>
  </si>
  <si>
    <t>STP150539T098</t>
  </si>
  <si>
    <t>T098</t>
  </si>
  <si>
    <t>WASH STARPLATE 150x5 39H TIED</t>
  </si>
  <si>
    <t>WITH WIRE -PALLET OF 980</t>
  </si>
  <si>
    <t>STX2005381HLT050</t>
  </si>
  <si>
    <t>Extra form</t>
  </si>
  <si>
    <t>1HL</t>
  </si>
  <si>
    <t>T050</t>
  </si>
  <si>
    <t>WASH X PLATE 200X5 38H 1HL</t>
  </si>
  <si>
    <t>BOX OF 500 PLASTIC TIED X 5</t>
  </si>
  <si>
    <t>TDD1515449GWA</t>
  </si>
  <si>
    <t>Turtle or Jelly mould or Meshing</t>
  </si>
  <si>
    <t>WASH JELLYMLD 150x150x4 49H</t>
  </si>
  <si>
    <t>GALV Freight included to Perth</t>
  </si>
  <si>
    <t>TDD2020449G</t>
  </si>
  <si>
    <t>WASH MESHING 200 X 200 X 4</t>
  </si>
  <si>
    <t>49H GAL</t>
  </si>
  <si>
    <t>OCP2006392HT050</t>
  </si>
  <si>
    <t>Octo plate</t>
  </si>
  <si>
    <t>WASH OCTO PLATE 200X6 39H 2 xHANGER</t>
  </si>
  <si>
    <t>RD150649</t>
  </si>
  <si>
    <t>RD</t>
  </si>
  <si>
    <t>ROUND PLATE DOME 150X150X6 49D</t>
  </si>
  <si>
    <t>CTR HOLE, 7mm GROUTHOLE, PALLET OF 1000</t>
  </si>
  <si>
    <t>BUTTERFLY PLATES</t>
  </si>
  <si>
    <t>Base Plate type</t>
  </si>
  <si>
    <t>Plate Type</t>
  </si>
  <si>
    <t>Butt size</t>
  </si>
  <si>
    <t>Hole</t>
  </si>
  <si>
    <t>Thickness</t>
  </si>
  <si>
    <t>Flare</t>
  </si>
  <si>
    <t>Gal</t>
  </si>
  <si>
    <t>Slot</t>
  </si>
  <si>
    <t>Clip</t>
  </si>
  <si>
    <t>Design</t>
  </si>
  <si>
    <t>Location</t>
  </si>
  <si>
    <t>BUTTD30025SCM</t>
  </si>
  <si>
    <t>BUTTD</t>
  </si>
  <si>
    <t>300 = 300 x 280</t>
  </si>
  <si>
    <t>M=Modified Edge</t>
  </si>
  <si>
    <t>B/FLY 300X280 STD SLOT C/W35MM</t>
  </si>
  <si>
    <t>DOMED HOLE-2.5MM MODIFIED EDGE</t>
  </si>
  <si>
    <t>BUTT300FGWA</t>
  </si>
  <si>
    <t>BUTT</t>
  </si>
  <si>
    <t>F</t>
  </si>
  <si>
    <t>G</t>
  </si>
  <si>
    <t>WA</t>
  </si>
  <si>
    <t>B/FLY 300x280 FLARED STD SLOT</t>
  </si>
  <si>
    <t>HD GALVANISED</t>
  </si>
  <si>
    <t>BUTT300GSC</t>
  </si>
  <si>
    <t>B/FLY 300X280 GALV SLOT &amp; CLIP</t>
  </si>
  <si>
    <t>BUTT300GSCM</t>
  </si>
  <si>
    <t xml:space="preserve">M </t>
  </si>
  <si>
    <t>MODIFIED EDGE</t>
  </si>
  <si>
    <t>BUTT300S</t>
  </si>
  <si>
    <t xml:space="preserve">B/FLY 300X280 STD SLOT </t>
  </si>
  <si>
    <t>(No Clip)</t>
  </si>
  <si>
    <t>BUTT300SC</t>
  </si>
  <si>
    <t>B/FLY 300X280 STD SLOT &amp;</t>
  </si>
  <si>
    <t>PACKING CLIP (1000/PALLET)</t>
  </si>
  <si>
    <t>BUTT300SCE</t>
  </si>
  <si>
    <t>E=Export</t>
  </si>
  <si>
    <t>PACKING CLIP (900 /EXPORT PAL)</t>
  </si>
  <si>
    <t>BUTT300SCEWA</t>
  </si>
  <si>
    <t>EWA</t>
  </si>
  <si>
    <t>BUTT300SCM</t>
  </si>
  <si>
    <t>M</t>
  </si>
  <si>
    <t>PACKING CLIP, MODIFIED EDGE</t>
  </si>
  <si>
    <t>BUTT300SGWA</t>
  </si>
  <si>
    <t>B/FLY 300X280 GALV SLOT - WA</t>
  </si>
  <si>
    <t>BUTT300SWA</t>
  </si>
  <si>
    <t>B/FLY 300X280 STD SLOT  WA</t>
  </si>
  <si>
    <t>BUTT400S</t>
  </si>
  <si>
    <t>400 = 400 x 280</t>
  </si>
  <si>
    <t>B/FLY 400X280 STD SLOT</t>
  </si>
  <si>
    <t>includes freight B/G</t>
  </si>
  <si>
    <t>BUTT400SWA</t>
  </si>
  <si>
    <t>SCP483A45</t>
  </si>
  <si>
    <t>SCP</t>
  </si>
  <si>
    <t>DRAGONFLY PLATES</t>
  </si>
  <si>
    <t>Butt Plate 1</t>
  </si>
  <si>
    <t>Plate 2</t>
  </si>
  <si>
    <t>Size</t>
  </si>
  <si>
    <t>Packing</t>
  </si>
  <si>
    <t>PLATE COMBINATION DESCRIPTION</t>
  </si>
  <si>
    <t>DFS35F20636</t>
  </si>
  <si>
    <t>DFS</t>
  </si>
  <si>
    <t>D/FLY SCP483A35 C/W F2020636XF</t>
  </si>
  <si>
    <t>DFS45F30144</t>
  </si>
  <si>
    <t>D/FLY SCP483A45 C/W F3030144XF</t>
  </si>
  <si>
    <t>DF3SD12436Q5</t>
  </si>
  <si>
    <t>DF3S</t>
  </si>
  <si>
    <t>Q</t>
  </si>
  <si>
    <t>D/FLY 300x280 C/W D1212436 INVERTED</t>
  </si>
  <si>
    <t>5 X TIED</t>
  </si>
  <si>
    <t>DF3SD12436</t>
  </si>
  <si>
    <t>D/FLY 300x280 C/W D1212436</t>
  </si>
  <si>
    <t>DF3SD12436GWA</t>
  </si>
  <si>
    <t>GALV</t>
  </si>
  <si>
    <t>DF3SD12436TG</t>
  </si>
  <si>
    <t>D/FLY 300x280 C/W D1212436 GAL</t>
  </si>
  <si>
    <t>MINOR PACKS X 5 -PLASTIC TIE</t>
  </si>
  <si>
    <t>DF3SD15150</t>
  </si>
  <si>
    <t>D/FLY 300X280 C/W D1515150</t>
  </si>
  <si>
    <t>DF3SD151501HLGB</t>
  </si>
  <si>
    <t>B</t>
  </si>
  <si>
    <t>D/FLY 300X280 C/W D15151501HL GAL</t>
  </si>
  <si>
    <t>BOX PALLET OF 300 BRI</t>
  </si>
  <si>
    <t>DF3SD15150GWA</t>
  </si>
  <si>
    <t>D/FLY 300X280 C/W D1515150 GAL</t>
  </si>
  <si>
    <t>DF3SD15150WA</t>
  </si>
  <si>
    <t>D/FLY 300X280 C/W D1515150 WA</t>
  </si>
  <si>
    <t>DF3SD15230GWA</t>
  </si>
  <si>
    <t>D/FLY 300x280 C/W D1515230 GAL</t>
  </si>
  <si>
    <t>DF3SD15242GWA</t>
  </si>
  <si>
    <t>D/FLY 300x280 C/W D1515242 GAL</t>
  </si>
  <si>
    <t>DF3SD15242WA</t>
  </si>
  <si>
    <t>D/FLY 300x280 C/W D1515242WA</t>
  </si>
  <si>
    <t>DF3SD15441</t>
  </si>
  <si>
    <t>D/FLY 300x280 C/W D1515441</t>
  </si>
  <si>
    <t>DF3SD15441G</t>
  </si>
  <si>
    <t>D/FLY 300x280 C/W D1515441 GAL</t>
  </si>
  <si>
    <t>DF3STDD15449</t>
  </si>
  <si>
    <t>TDD</t>
  </si>
  <si>
    <t>D/FLY 300x280 C/W TDD1515449</t>
  </si>
  <si>
    <t>SUIT 47MM F/BOLT</t>
  </si>
  <si>
    <t>DF3STDD15449G</t>
  </si>
  <si>
    <t>D/FLY 300x280 GALV C/W</t>
  </si>
  <si>
    <t>TDD1515449 SUIT 47MM F/BOLT</t>
  </si>
  <si>
    <t>DF3STDD15449GWA</t>
  </si>
  <si>
    <t>WA GALV SUIT 47MM F/BOLT</t>
  </si>
  <si>
    <t>DF3STDD15449T</t>
  </si>
  <si>
    <t>PLASTIC TIED MINOR PACKS OF 5</t>
  </si>
  <si>
    <t>DF3STDD15449TG</t>
  </si>
  <si>
    <t>GALV, MINOR PACKS X 5 PLAS/TIE</t>
  </si>
  <si>
    <t>DF3STP150539</t>
  </si>
  <si>
    <t xml:space="preserve">DF3 </t>
  </si>
  <si>
    <t>STP</t>
  </si>
  <si>
    <t>D/FLY 300x280MM C/W STP150539</t>
  </si>
  <si>
    <t>WELDED</t>
  </si>
  <si>
    <t>DF3STP150539GWA</t>
  </si>
  <si>
    <t>STP150539 WA</t>
  </si>
  <si>
    <t>DF3STP150539HGWA</t>
  </si>
  <si>
    <t>STP1505391HLXW - WA</t>
  </si>
  <si>
    <t>DF4HTDD15449G</t>
  </si>
  <si>
    <t>DF4H</t>
  </si>
  <si>
    <t>D/FLY 400X280 C/W TDD1515449</t>
  </si>
  <si>
    <t>GALV (FREIGHT WA TO BG)</t>
  </si>
  <si>
    <t>DF4HTDD15449GWA</t>
  </si>
  <si>
    <t>WA GALV</t>
  </si>
  <si>
    <t>DF4HTDD15449WA</t>
  </si>
  <si>
    <t>D/FLY 400x280 C/W TDD1515449</t>
  </si>
  <si>
    <t>DF4SD15640WA</t>
  </si>
  <si>
    <t>DF4S</t>
  </si>
  <si>
    <t>D/FLY 400X280 C/W D1515640 WA</t>
  </si>
  <si>
    <t>DF4STP150539WA</t>
  </si>
  <si>
    <t>DF4</t>
  </si>
  <si>
    <t>D/FLY 400x280 C/W STP150539</t>
  </si>
  <si>
    <t>No.</t>
  </si>
  <si>
    <t>Code</t>
  </si>
  <si>
    <t>Hole type</t>
  </si>
  <si>
    <t>(MWG) W-Strap Width 240mm</t>
  </si>
  <si>
    <t>MWG30BG</t>
  </si>
  <si>
    <t>W/STRAP 240/150 MH 3.0M GAL</t>
  </si>
  <si>
    <t>10x 50MM HOLES, PACK 20/80</t>
  </si>
  <si>
    <t>MWG</t>
  </si>
  <si>
    <t>MWG30BGWA</t>
  </si>
  <si>
    <t>W/STRAP 240/150 MH 3.0M GAL WA</t>
  </si>
  <si>
    <t>MWG30C</t>
  </si>
  <si>
    <t>W/STRAP 240/150 MH 1.9MMX3.0M</t>
  </si>
  <si>
    <t>MWG40BG</t>
  </si>
  <si>
    <t>W/STRAP 240/150 MH GALV 4.0M</t>
  </si>
  <si>
    <t>50MM HOLES</t>
  </si>
  <si>
    <t>(MWV) W-Strap Width 280mm</t>
  </si>
  <si>
    <t>MWV30B</t>
  </si>
  <si>
    <t>W/STRAP 280/175 MH 1.9MMX3.0M</t>
  </si>
  <si>
    <t>3x 65D HOLES, PACK 20/80</t>
  </si>
  <si>
    <t>MWV</t>
  </si>
  <si>
    <t>MWV44SLWA</t>
  </si>
  <si>
    <t>W/STRAP 280/175 MH 1.9MM X4.5M</t>
  </si>
  <si>
    <t>15x 44MM HOLES, PACK 20/80</t>
  </si>
  <si>
    <t>SL</t>
  </si>
  <si>
    <t>Item Code</t>
  </si>
  <si>
    <t>Bolt Type</t>
  </si>
  <si>
    <t>Drive nut &amp; Accessories</t>
  </si>
  <si>
    <t>Coating</t>
  </si>
  <si>
    <t>Markings</t>
  </si>
  <si>
    <t>FRICTION BOLT</t>
  </si>
  <si>
    <t>FB33180B</t>
  </si>
  <si>
    <t>Friction Bolt</t>
  </si>
  <si>
    <t>FRICTION BOLT 33 X 1800 BR</t>
  </si>
  <si>
    <t>FB39090G</t>
  </si>
  <si>
    <t>FRICTION BOLT 39 X 900 GALV</t>
  </si>
  <si>
    <t>FB47210G</t>
  </si>
  <si>
    <t>FRICTION BOLT 47 X 2100 GALV</t>
  </si>
  <si>
    <t>FB47240GWA</t>
  </si>
  <si>
    <t>FRICTION BOLT 47 X 2400 GALV WA</t>
  </si>
  <si>
    <t>FB47300G</t>
  </si>
  <si>
    <t>FRICTION BOLT 47 X 3000 GALV</t>
  </si>
  <si>
    <t>FB47090GLR</t>
  </si>
  <si>
    <t>LR</t>
  </si>
  <si>
    <t>FRICTION BOLT 47 X 900 GALV</t>
  </si>
  <si>
    <t>PAINTED RING END RED</t>
  </si>
  <si>
    <t>FB47300GLY</t>
  </si>
  <si>
    <t>LY</t>
  </si>
  <si>
    <t>PAINTED RING END YELLOW</t>
  </si>
  <si>
    <t>STRENGTHENED BOLT</t>
  </si>
  <si>
    <t>FBS47210GWA</t>
  </si>
  <si>
    <t>Friction Bolt Strengthened Ring</t>
  </si>
  <si>
    <t>STRENGTHENED FRICTION BOLT 47 X 2100 GAL WA</t>
  </si>
  <si>
    <t>SPIRAL BOLT</t>
  </si>
  <si>
    <t>FBSP47210GWA</t>
  </si>
  <si>
    <t>Friction Bolt Spiral</t>
  </si>
  <si>
    <t>FRICTION BOLT SPIRAL 47 X 2100 GALV WA</t>
  </si>
  <si>
    <t>FBSPD47240GB</t>
  </si>
  <si>
    <t>Friction Bolt Spiral large Dome</t>
  </si>
  <si>
    <t>FRICTION BOLT SPIRAL 47 X 2400 DBW GALV BR</t>
  </si>
  <si>
    <t>KINLOC BOLT</t>
  </si>
  <si>
    <t>FBMC47240DPH4G</t>
  </si>
  <si>
    <t>Kinloc SE</t>
  </si>
  <si>
    <t>DPH4</t>
  </si>
  <si>
    <t>F/BOLT MECH ECS DPH 47X2400 GALV</t>
  </si>
  <si>
    <t>DPH4 BLIND NUT &amp; ASSY</t>
  </si>
  <si>
    <t>FBMD47300DPXH4GWA</t>
  </si>
  <si>
    <t>Kinloc INDIE</t>
  </si>
  <si>
    <t>DPXH4</t>
  </si>
  <si>
    <t>KINLOC 47MMX3000MM INDIE GAL</t>
  </si>
  <si>
    <t>DPXHx2990MM,FBX472835G WA</t>
  </si>
  <si>
    <t>OMEGA BOLT</t>
  </si>
  <si>
    <t>OM242400TWA</t>
  </si>
  <si>
    <t>Omega bolt 24 tonne</t>
  </si>
  <si>
    <t>BOLT OMEGA 24T X 2400MM WA</t>
  </si>
  <si>
    <t>PACKED IN TIMBER</t>
  </si>
  <si>
    <t>OM242400TDTWA</t>
  </si>
  <si>
    <t>Thermal Diffised</t>
  </si>
  <si>
    <t>TDG 55UM - PACKED IN TIMBER</t>
  </si>
  <si>
    <t>OM243000WA</t>
  </si>
  <si>
    <t>BOLT OMEGA 24T X 3000MM WA</t>
  </si>
  <si>
    <t>Mesh type</t>
  </si>
  <si>
    <t>Wire diameter in mm</t>
  </si>
  <si>
    <t>Aperture (Long wire and cross wire spacing in inches)</t>
  </si>
  <si>
    <t>Sheet Length  in 0.0mtrs</t>
  </si>
  <si>
    <t>Sheet  Width in 0.0mtrs</t>
  </si>
  <si>
    <t>Aperture -wire spacing</t>
  </si>
  <si>
    <t>Flush All Round</t>
  </si>
  <si>
    <t>Shipping</t>
  </si>
  <si>
    <t>Customer Contract</t>
  </si>
  <si>
    <t>WG5444024B</t>
  </si>
  <si>
    <t>Weldmesh Galvanised</t>
  </si>
  <si>
    <t>MESH GAL 4.0Mx2.4M 5MM WIRE</t>
  </si>
  <si>
    <t>(100x100SQ)</t>
  </si>
  <si>
    <t>WG5A444517FARWA</t>
  </si>
  <si>
    <t>5A</t>
  </si>
  <si>
    <t>FAR</t>
  </si>
  <si>
    <t>Western Australia</t>
  </si>
  <si>
    <t>MESH GAL 4.5MX1.7M SHEET 5.6MM</t>
  </si>
  <si>
    <t>(100X100) FLUSH ALL ROUND -Western Australia</t>
  </si>
  <si>
    <t>WG5A444517FARWA-V</t>
  </si>
  <si>
    <t>V</t>
  </si>
  <si>
    <t>(100X100) FAR -Western Australia STRENGTHENED</t>
  </si>
  <si>
    <t>WG5A4445FARWA</t>
  </si>
  <si>
    <t>MESH GAL 4.5MX2.4M SHEET 5.6MM</t>
  </si>
  <si>
    <t>(100X100) FLUSH ALL ROUND - Western Australia</t>
  </si>
  <si>
    <t>WG5A445024FARP</t>
  </si>
  <si>
    <t>MESH GAL 5.0MX2.4M 5.6WIRE</t>
  </si>
  <si>
    <t>100X100 FLUSH ALL ROUND PLAS COATED</t>
  </si>
  <si>
    <t>WG5A44617FARWA</t>
  </si>
  <si>
    <t>MESH GAL 6.0Mx1.7M SHEET -Western Australia</t>
  </si>
  <si>
    <t>(100x100x5.6mm)FLUSH ALL ROUND</t>
  </si>
  <si>
    <t>(MM) Mesh Modules</t>
  </si>
  <si>
    <t>MMB4548121010</t>
  </si>
  <si>
    <t>Mesh Modules Bright</t>
  </si>
  <si>
    <t>MESH MOD 4.8MX1.2M 4&amp;5MM WIRE</t>
  </si>
  <si>
    <t>100X100 APERTURE 4x250KG SLING</t>
  </si>
  <si>
    <t>MMB45511751515</t>
  </si>
  <si>
    <t>MESH MOD 5.1MX1.75M 4&amp;5MM WIRE</t>
  </si>
  <si>
    <t>150X150 APERTURE 50MM BENDS</t>
  </si>
  <si>
    <t>MMB45644502050</t>
  </si>
  <si>
    <t>MESH MOD 5.0MX2.05M 4, 5 &amp; 6MM</t>
  </si>
  <si>
    <t>WIRE 100X100 APP FAR</t>
  </si>
  <si>
    <t>MMB4613-CEN</t>
  </si>
  <si>
    <t>CEN</t>
  </si>
  <si>
    <t>MESH MODULE BRIGHT 4.6X1.3M</t>
  </si>
  <si>
    <t>5&amp;7MM WIRE 100X100MM APP</t>
  </si>
  <si>
    <t>MMB548162-CEN</t>
  </si>
  <si>
    <t>MESH MOD 4.8MX1.625M 5MM WIRE</t>
  </si>
  <si>
    <t>FOR CENTENNIAL ONLY</t>
  </si>
  <si>
    <t>MMB550121010</t>
  </si>
  <si>
    <t>MESH MOD BRIGHT 5X1.2M</t>
  </si>
  <si>
    <t>100X100MM AP 5MM WIRE</t>
  </si>
  <si>
    <t>MMB571444614</t>
  </si>
  <si>
    <t>MESH MOD BRIGHT 4.6MX1.4M</t>
  </si>
  <si>
    <t>5&amp;7.1MM WIRE,100X100, C/W SLINGS</t>
  </si>
  <si>
    <t>(Mesh L Bend) Mesh L bend</t>
  </si>
  <si>
    <t>MLB3442417L05</t>
  </si>
  <si>
    <t>Mesh L Bend</t>
  </si>
  <si>
    <t>L05</t>
  </si>
  <si>
    <t>MESH L BEND BRIGHT 2.4M X 1.7M 3MM WIRE</t>
  </si>
  <si>
    <t>100x100MM, BEND AT 500MM, PACKS OF 200</t>
  </si>
  <si>
    <t>(Mesh Module Strap Bright) Mesh Strap</t>
  </si>
  <si>
    <t>MMSB45445025</t>
  </si>
  <si>
    <t>Mesh Module Strap Bright</t>
  </si>
  <si>
    <t>MESH STRAP BRIGHT 5.1X0.25</t>
  </si>
  <si>
    <t>100X100 APP; 4&amp;5MM WIRE</t>
  </si>
  <si>
    <t>MMSB52348025</t>
  </si>
  <si>
    <t>MESH STRAP BRIGHT 4.80X0.25M</t>
  </si>
  <si>
    <t>50X75MM APP 5MM WIRE</t>
  </si>
  <si>
    <t>MMSB884030-ONZ</t>
  </si>
  <si>
    <t>MESH STRAP BRIGHT 4.0M X 0.3M</t>
  </si>
  <si>
    <t>100 X 100MM APP, 8MM WIRE</t>
  </si>
  <si>
    <t>(Mesh Module Strap Galvanised) Mesh Strap</t>
  </si>
  <si>
    <t>MMSG5A443003WA</t>
  </si>
  <si>
    <t>Mesh Module Strap Galvanised</t>
  </si>
  <si>
    <t>MESH STRAP GALV 3.0X0.3M 5.6MM WIRE</t>
  </si>
  <si>
    <t>100MM X 100MM - Western Australia</t>
  </si>
  <si>
    <t>MMSG5A446003WA</t>
  </si>
  <si>
    <t>MESH STRAP GALV 6.0X0.3M 5.6MM WIRE</t>
  </si>
  <si>
    <t>MMSG8443003WA</t>
  </si>
  <si>
    <t>MESH STRAP GALV 3.0X0.3M 8MM WIRE</t>
  </si>
  <si>
    <t>100MM X 100MM, PACK 50/25, Western Australia</t>
  </si>
  <si>
    <t>MMSG8443004B</t>
  </si>
  <si>
    <t>MESH STRAP GALV 3.0X0.4M 8MM WIRE</t>
  </si>
  <si>
    <t>100MM X 100MM, PACK 50/25 BR</t>
  </si>
  <si>
    <t>MMSG8445004B</t>
  </si>
  <si>
    <t>MESH STRAP GALV 5.0X0.4M 8MM WIRE</t>
  </si>
  <si>
    <t>(CCSK) Chain Mesh</t>
  </si>
  <si>
    <t>CCSK1020-CEN</t>
  </si>
  <si>
    <t>CCSK</t>
  </si>
  <si>
    <t>MESH CHAIN WIRE 10MX2.0M ROLL</t>
  </si>
  <si>
    <t>GALV 50MM DIAMOND x 2.5WIRE</t>
  </si>
  <si>
    <t>CCSK1024EXP</t>
  </si>
  <si>
    <t>Export</t>
  </si>
  <si>
    <t>MESH CHAIN WIRE 10MX2.4M ROLL</t>
  </si>
  <si>
    <t>GALV 50MM DIAMOND X 2.5 WIRE</t>
  </si>
  <si>
    <t>CCSK1540-Western Australia</t>
  </si>
  <si>
    <t>MESH CHAIN WIRE 15MX4.0M ROLL</t>
  </si>
  <si>
    <t>MINAX 80MM APP x 4.6MM GALV WIRE</t>
  </si>
  <si>
    <t>CCSK2012-CEN</t>
  </si>
  <si>
    <t>MESH CHAIN WIRE 20MX1.2M ROLL</t>
  </si>
  <si>
    <t>CCSK2040</t>
  </si>
  <si>
    <t>MESH CHAIN WIRE 20MX4.0M ROLL</t>
  </si>
  <si>
    <t>Part Code</t>
  </si>
  <si>
    <t>Spanner</t>
  </si>
  <si>
    <t>Drive End</t>
  </si>
  <si>
    <t>Socket End</t>
  </si>
  <si>
    <t>SPD22EH40400Q</t>
  </si>
  <si>
    <t>Pixi Drive 22mm Hex</t>
  </si>
  <si>
    <t>EH4</t>
  </si>
  <si>
    <t>0400</t>
  </si>
  <si>
    <t>SPAN PD HEX22X400 DRV/EXT 36AF</t>
  </si>
  <si>
    <t>SPD22ETRH40400Q</t>
  </si>
  <si>
    <t>ETRH4</t>
  </si>
  <si>
    <t>SPAN PD HEX22X400 DRV/EXT</t>
  </si>
  <si>
    <t>36AF HEAT TREATED 40-45RC</t>
  </si>
  <si>
    <t>SPDH40185</t>
  </si>
  <si>
    <t>PDH4</t>
  </si>
  <si>
    <t>H4</t>
  </si>
  <si>
    <t>0185</t>
  </si>
  <si>
    <t>SPAN PD 19HEX DRIVE 36AF 185MM</t>
  </si>
  <si>
    <t>SUIT 24MM BOLT</t>
  </si>
  <si>
    <t>SPDH40250</t>
  </si>
  <si>
    <t>0250</t>
  </si>
  <si>
    <t>SPAN PD 19HEX DRIVE 36AF 250MM</t>
  </si>
  <si>
    <t>SPDH40300</t>
  </si>
  <si>
    <t>0300</t>
  </si>
  <si>
    <t>SPAN PD 19HEX DRIVE 36AF 300MM</t>
  </si>
  <si>
    <t>SSD22EH4C0300</t>
  </si>
  <si>
    <t>SD22E</t>
  </si>
  <si>
    <t>H4C</t>
  </si>
  <si>
    <t>SPAN 25 EXT DVE 36AF C/W</t>
  </si>
  <si>
    <t>COLLAR FOR FLEXIBOLT 300MM</t>
  </si>
  <si>
    <t>SSD22REH40200</t>
  </si>
  <si>
    <t>Square Drive 22mm Round Extended section above square for chucks with retaining ring</t>
  </si>
  <si>
    <t>0200</t>
  </si>
  <si>
    <t>SPAN SD22 200LG 24MM 36AF DRV</t>
  </si>
  <si>
    <t>22MM SPIGOT</t>
  </si>
  <si>
    <t>SSD22REH40300</t>
  </si>
  <si>
    <t>SPAN SD22 300LG 24MM 36AF DRV</t>
  </si>
  <si>
    <t>SSD22REH40450</t>
  </si>
  <si>
    <t>0450</t>
  </si>
  <si>
    <t>SPAN SD22 450LG 24MM 36AF DRV</t>
  </si>
  <si>
    <t>SSD22REH40500</t>
  </si>
  <si>
    <t>0500</t>
  </si>
  <si>
    <t>SPAN SD22 500LG 24MM 36AF DRV</t>
  </si>
  <si>
    <t>SSD22REH40550</t>
  </si>
  <si>
    <t>0550</t>
  </si>
  <si>
    <t>SPAN SD22 550LG 24MM 36AF DRV</t>
  </si>
  <si>
    <t>SSD22REH40600</t>
  </si>
  <si>
    <t>0600</t>
  </si>
  <si>
    <t>SPAN SD22 600LG 24MM 36AF DRV</t>
  </si>
  <si>
    <t>SSD22REH40900</t>
  </si>
  <si>
    <t>0900</t>
  </si>
  <si>
    <t>SPAN SD22 900LG 24MM 36AF DRV</t>
  </si>
  <si>
    <t>SSD22REH41000</t>
  </si>
  <si>
    <t>SPAN SD22 1000LG 24MM 36AF DRV</t>
  </si>
  <si>
    <t>SSD22REH560320</t>
  </si>
  <si>
    <t>H56</t>
  </si>
  <si>
    <t>0320</t>
  </si>
  <si>
    <t>SPAN SD22 320LG 56MM AF DRV</t>
  </si>
  <si>
    <t>EZI-TEN TENSIONING SPANNER</t>
  </si>
  <si>
    <t>SSD22RES13F0195</t>
  </si>
  <si>
    <t>S13F</t>
  </si>
  <si>
    <t>0195</t>
  </si>
  <si>
    <t>SPAN SD22 EZI TEN 24MM 195 LG</t>
  </si>
  <si>
    <t>(EZI TEN MIXING SPANNER)</t>
  </si>
  <si>
    <t>SSD22RES13F0320</t>
  </si>
  <si>
    <t>SPAN SD22 HI-TEN 320LG</t>
  </si>
  <si>
    <t>(USED WHEN FITTINGS LOOSE)</t>
  </si>
  <si>
    <t>SSD22RH4C0300</t>
  </si>
  <si>
    <t xml:space="preserve">SD22R </t>
  </si>
  <si>
    <t>SPAN SD22 C/W FLEXIBOLT</t>
  </si>
  <si>
    <t>COLLAR</t>
  </si>
  <si>
    <t>SSD28RES13F0450</t>
  </si>
  <si>
    <t>SD28RE</t>
  </si>
  <si>
    <t>SPAN SD28 HI-TEN 450LG</t>
  </si>
  <si>
    <t>28MM SQ DRV</t>
  </si>
  <si>
    <t>SSD22REA3EZI</t>
  </si>
  <si>
    <t>SSD22RE</t>
  </si>
  <si>
    <t>A3EZI</t>
  </si>
  <si>
    <t>SPAN SD22 21.8MMX19WIRE</t>
  </si>
  <si>
    <t>EZI TEN A3 MIXING SPANNER</t>
  </si>
  <si>
    <t>Primary end</t>
  </si>
  <si>
    <t>Secondary end</t>
  </si>
  <si>
    <t>Spigot</t>
  </si>
  <si>
    <t>Friction Bolts 39mm</t>
  </si>
  <si>
    <t>SFB39R38F</t>
  </si>
  <si>
    <t>Friction bolt dolly 39mm</t>
  </si>
  <si>
    <t>Rope thread 38mm female socket</t>
  </si>
  <si>
    <t>SPAN F/BOLT 39MM Rope thread 38mm FEMALE</t>
  </si>
  <si>
    <t>10 PER BAG</t>
  </si>
  <si>
    <t>SFB39R38FWA</t>
  </si>
  <si>
    <t>Western Australia DSI DWG# 32057526</t>
  </si>
  <si>
    <t>SFB39R38FB</t>
  </si>
  <si>
    <t>DSI DWG# 32057526 BR</t>
  </si>
  <si>
    <t>SFB39T38F</t>
  </si>
  <si>
    <t>Tapezoidal thread 38mm female socket</t>
  </si>
  <si>
    <t>SPAN F/BOLT 39MM Tapezoidal thread 38mm FEMALE</t>
  </si>
  <si>
    <t>SFB39T38FWA</t>
  </si>
  <si>
    <t>SFB3947T38FWA</t>
  </si>
  <si>
    <t>FB3947</t>
  </si>
  <si>
    <t>SPAN F/BOLT 39-47MM Tapezoidal thread 38mm FEMALE Western Australia</t>
  </si>
  <si>
    <t>Friction Bolts 47mm</t>
  </si>
  <si>
    <t>SFB47R32F</t>
  </si>
  <si>
    <t>Friction bolt dolly 47mm</t>
  </si>
  <si>
    <t>R32F</t>
  </si>
  <si>
    <t>SPAN F/BOLT 47MM R32 FEMALE</t>
  </si>
  <si>
    <t>SFB47R38F</t>
  </si>
  <si>
    <t>SPANNER 47mm F/BOLT Rope thread 38mm FEMALE</t>
  </si>
  <si>
    <t>ROPE THREAD</t>
  </si>
  <si>
    <t>SFB47R38FWA</t>
  </si>
  <si>
    <t>SPAN F/BOLT 47MM Rope thread 38mm FEMALE</t>
  </si>
  <si>
    <t>Western Australia DSI DWG# 32.05.7528 rev 0</t>
  </si>
  <si>
    <t>SFB47T38F</t>
  </si>
  <si>
    <t>SPAN F/BOLT 47MM Tapezoidal thread 38mm FEMALE</t>
  </si>
  <si>
    <t>SFB47T38FWA</t>
  </si>
  <si>
    <t>Friction Bolts 33mm</t>
  </si>
  <si>
    <t>SITFB33180</t>
  </si>
  <si>
    <t>Tapered Drive</t>
  </si>
  <si>
    <t>Friction bolt dolly 33mm</t>
  </si>
  <si>
    <t>DOLLY TAPER SUIT F/BOLT 33MM</t>
  </si>
  <si>
    <t>180mm Lg</t>
  </si>
  <si>
    <t>SITFB390160</t>
  </si>
  <si>
    <t>DOLLY TAPER SUIT F/BOLT 39MM</t>
  </si>
  <si>
    <t>SPR22FB330300</t>
  </si>
  <si>
    <t>Pixi Round 22mm drive</t>
  </si>
  <si>
    <t>DOLLY DRV F/BOLT 33X300</t>
  </si>
  <si>
    <t>SUIT STOPER</t>
  </si>
  <si>
    <t>SPR22FB330300L</t>
  </si>
  <si>
    <t>L</t>
  </si>
  <si>
    <t>DOLLY DRV F/BOLT 33X300 108mm</t>
  </si>
  <si>
    <t>LONG SPIGOT SIDE FLUSH</t>
  </si>
  <si>
    <t>SPR22FB330500L</t>
  </si>
  <si>
    <t>DOLLY F/BOLT 33x500 108MM</t>
  </si>
  <si>
    <t>LONG SPIGOT</t>
  </si>
  <si>
    <t>SPR22FB390300L</t>
  </si>
  <si>
    <t>DOLLY F/BOLT 39x300 108MM</t>
  </si>
  <si>
    <t>SPR22FB331200L</t>
  </si>
  <si>
    <t>DOLLY F/BOLT 33x1200Lg 108mm</t>
  </si>
  <si>
    <t>Rope Thread 38mm</t>
  </si>
  <si>
    <t>R3836WA</t>
  </si>
  <si>
    <t>Rope thread 38mm</t>
  </si>
  <si>
    <t>ROD, SPIRAL Rope thread 38mm-3.6Mtr</t>
  </si>
  <si>
    <t>R38H36FLWA</t>
  </si>
  <si>
    <t>Hexagonal 36mm female socket</t>
  </si>
  <si>
    <t>SPANNER Rope thread 38mm HEX 36 900LG Western Australia</t>
  </si>
  <si>
    <t>UNIVERSAL FEMALE</t>
  </si>
  <si>
    <t>R38H36FS</t>
  </si>
  <si>
    <t>SPAN UNIVERSAL BOLT 580Lg</t>
  </si>
  <si>
    <t>R38L.H  ROPE THREAD</t>
  </si>
  <si>
    <t>R38H36FSWA</t>
  </si>
  <si>
    <t>Rope thread 38mm ROPE THREAD -Western Australia</t>
  </si>
  <si>
    <t>Trapizoidal Thread 38mm</t>
  </si>
  <si>
    <t>T3836</t>
  </si>
  <si>
    <t>Tapezoidal thread 38mm</t>
  </si>
  <si>
    <t>ROD, SPIRAL Tapezoidal thread 38mm 3.6MTRS</t>
  </si>
  <si>
    <t>Tapezoidal thread 38mm THREAD 36AF SOCKET</t>
  </si>
  <si>
    <t>T38H36FLWA</t>
  </si>
  <si>
    <t>SPANNER Tapezoidal thread 38mm HEX36  900LG Western Australia</t>
  </si>
  <si>
    <t>T38H36FS</t>
  </si>
  <si>
    <t>SPANNER Tapezoidal thread 38mm HEX36 FEM 500LG</t>
  </si>
  <si>
    <t>T38H36FS0550</t>
  </si>
  <si>
    <t>S0550</t>
  </si>
  <si>
    <t>SPANNER Tapezoidal thread 38mm HEX36 FEM 550LG</t>
  </si>
  <si>
    <t>T38H36FSWA</t>
  </si>
  <si>
    <t>SPANNER Tapezoidal thread 38mm HEX36 FEM 500LG Western Australia</t>
  </si>
  <si>
    <t>T38H46F0720WA</t>
  </si>
  <si>
    <t>H46F</t>
  </si>
  <si>
    <t>SPANNER Tapezoidal thread 38mm HEX46 FEM 720LG Western Australia</t>
  </si>
  <si>
    <t>R38H36FLKINWA</t>
  </si>
  <si>
    <t>H36FLKIN</t>
  </si>
  <si>
    <t>SPANNER R38LH HEX 36 900LG</t>
  </si>
  <si>
    <t>SUIT KINLOC BOLT Western Australia</t>
  </si>
  <si>
    <t>Resin Ratio</t>
  </si>
  <si>
    <t>Resin Type</t>
  </si>
  <si>
    <t>Resin Length</t>
  </si>
  <si>
    <t>Viscosity</t>
  </si>
  <si>
    <t>Resin Diameter</t>
  </si>
  <si>
    <t>Resin Speed</t>
  </si>
  <si>
    <t>Accessories</t>
  </si>
  <si>
    <t>46120025MS-Export</t>
  </si>
  <si>
    <t>MS</t>
  </si>
  <si>
    <t>RESIN 30/70 1200x25MM LOW VISC</t>
  </si>
  <si>
    <t>FAST/SLOW + HAT + BAG</t>
  </si>
  <si>
    <t>Resin Anchor</t>
  </si>
  <si>
    <t>RA100020MB</t>
  </si>
  <si>
    <t>RESIN 1000X20 MEDIUM WITH BAG</t>
  </si>
  <si>
    <t>RA100025S</t>
  </si>
  <si>
    <t>RESIN 1000X25 SLOW</t>
  </si>
  <si>
    <t>Resin Oil Base</t>
  </si>
  <si>
    <t>RO100036MR</t>
  </si>
  <si>
    <t>Exworks Rocbolt</t>
  </si>
  <si>
    <t>RESIN 1000X36 MEDIUM</t>
  </si>
  <si>
    <t>C/W RETAINER SPIDER, CTN  10/PLT 420</t>
  </si>
  <si>
    <t>RO100036SRHP</t>
  </si>
  <si>
    <t>Half Pallet</t>
  </si>
  <si>
    <t>RESIN 1000X36 SLOW C/W</t>
  </si>
  <si>
    <t>RETAINER SPIDER, CTN 10 - 1/2 PLT 210</t>
  </si>
  <si>
    <t>RO120024MS46</t>
  </si>
  <si>
    <t>RESIN 1200X24MM MED/SLOW 40/60</t>
  </si>
  <si>
    <t>TWO SPEED OIL BASED, CTN  20/PLT 840</t>
  </si>
  <si>
    <t>RO240030FS2PA</t>
  </si>
  <si>
    <t>FS</t>
  </si>
  <si>
    <t>PA</t>
  </si>
  <si>
    <t>C/W INSTALL CAP CTN 7/PLT 294</t>
  </si>
  <si>
    <t>RO140024FSE</t>
  </si>
  <si>
    <t>RESIN 1400X25 FAST/SLOW</t>
  </si>
  <si>
    <t>TWO SPEED, CTN  20/PLT 840, EXPORT PALLET</t>
  </si>
  <si>
    <t>RO300030FS2PAWA</t>
  </si>
  <si>
    <t>RESIN 3000X30 FAST SLOW X 2</t>
  </si>
  <si>
    <t>C/W INSTALL CAP PALLET OF 210 Western Australia</t>
  </si>
  <si>
    <t>RO240030FS2PAR</t>
  </si>
  <si>
    <t>RESIN 2400X30 FAST /SLOW X 2</t>
  </si>
  <si>
    <t>C/W INSTALL CAP CTN 7/PLT 294 - EXWORKS</t>
  </si>
  <si>
    <t>RQ</t>
  </si>
  <si>
    <t>RQ10002464STS</t>
  </si>
  <si>
    <t>STS</t>
  </si>
  <si>
    <t>RESIN TORQ 1000X24 60/40</t>
  </si>
  <si>
    <t>SUPERFAST/SLOW TWO SPEED, CTN 25/PLT 1050</t>
  </si>
  <si>
    <t>RQ120024STS</t>
  </si>
  <si>
    <t>RESIN TORQ 1200X24 50/50</t>
  </si>
  <si>
    <t>SUPERFAST/SLOW TWO SPEED, CTN 20/PLT 840</t>
  </si>
  <si>
    <t>Resin Water Base</t>
  </si>
  <si>
    <t>RW100024FS</t>
  </si>
  <si>
    <t>RESIN 1000X24 FAST/SLOW</t>
  </si>
  <si>
    <t>TWO SPEED WATER BASE, CTN OF 25/PLT 400</t>
  </si>
  <si>
    <t>RW240030FS2PAE-Dunnage bags</t>
  </si>
  <si>
    <t>Export-Dunnage bags</t>
  </si>
  <si>
    <t>RESIN 1200X30 FAST/SLOW TWO SPEED X2</t>
  </si>
  <si>
    <t>WATER BASE W/CAP SIS,EXPORT PLT CTN 7/PLT 315</t>
  </si>
  <si>
    <t>Resin Low Viscosity</t>
  </si>
  <si>
    <t>RL65024ME</t>
  </si>
  <si>
    <t>RESIN 650X24 MEDIUM OIL/Brisbane</t>
  </si>
  <si>
    <t>EXPORT PALLET, CTN  35/PLT 876</t>
  </si>
  <si>
    <t>RL90030SP</t>
  </si>
  <si>
    <t>RESIN 900X30 SLOW SET C/W CAP</t>
  </si>
  <si>
    <t>CTN 15/ PLT 630</t>
  </si>
  <si>
    <t>RL240030MS2PAE-Dunnage bags</t>
  </si>
  <si>
    <t>Resin Single Speed</t>
  </si>
  <si>
    <t>RS500N24F1</t>
  </si>
  <si>
    <t>N</t>
  </si>
  <si>
    <t>RESIN 500X24MM FAST 1/2MIN</t>
  </si>
  <si>
    <t>CTN  30/PLT 1260</t>
  </si>
  <si>
    <t>Resin Single Extreme</t>
  </si>
  <si>
    <t>RSX500N24SF1</t>
  </si>
  <si>
    <t>SF</t>
  </si>
  <si>
    <t>RESIN Fasloc Extreme 24x500 S-fast (PEAK)</t>
  </si>
  <si>
    <t>BOX OF 25/Pallet of 2,000</t>
  </si>
  <si>
    <t>Resin Twin Speed</t>
  </si>
  <si>
    <t>RT1100N24F55S1</t>
  </si>
  <si>
    <t>F55S</t>
  </si>
  <si>
    <t>RESIN 1100X24MM FAST/SLOW</t>
  </si>
  <si>
    <t>TWO SPEED 1000 PER PALLET</t>
  </si>
  <si>
    <t xml:space="preserve">Resin Twin speed Extreme </t>
  </si>
  <si>
    <t>RTX1000N24SF55S1</t>
  </si>
  <si>
    <t>Resin Twin speed Extreme</t>
  </si>
  <si>
    <t>SF55S</t>
  </si>
  <si>
    <t>RESIN 1000X24MM SUPERFAST/SLOW</t>
  </si>
  <si>
    <t>BOX OF 25</t>
  </si>
  <si>
    <t>Bit Type</t>
  </si>
  <si>
    <t>Drill Diameter</t>
  </si>
  <si>
    <t>Shank Size</t>
  </si>
  <si>
    <t>Flush Style</t>
  </si>
  <si>
    <t>Features</t>
  </si>
  <si>
    <t>Paint Colour</t>
  </si>
  <si>
    <t>TWO WING BITS</t>
  </si>
  <si>
    <t>CN3216CF</t>
  </si>
  <si>
    <t>Concentric tip negative rake</t>
  </si>
  <si>
    <t>CF</t>
  </si>
  <si>
    <t>Gold</t>
  </si>
  <si>
    <t>D/BIT 2 WING 32MM 16MM SHK</t>
  </si>
  <si>
    <t>D4MB-1632-0955</t>
  </si>
  <si>
    <t>EN27W8XF</t>
  </si>
  <si>
    <t>Eccentric Tip Negative Rake</t>
  </si>
  <si>
    <t>W8</t>
  </si>
  <si>
    <t>XF</t>
  </si>
  <si>
    <t>Blue</t>
  </si>
  <si>
    <t>DRILL BIT 2WING 27MM 1/2w SHNK</t>
  </si>
  <si>
    <t>NEGATIVE RAKE TRI-FLUSH CP29</t>
  </si>
  <si>
    <t>EP2716XF</t>
  </si>
  <si>
    <t>Eccentric Tip Positive rake</t>
  </si>
  <si>
    <t>D/BIT 2 WING 27MM 16MM SHK</t>
  </si>
  <si>
    <t>XTR/FLUSH (TOL +/- 0.2mm)</t>
  </si>
  <si>
    <t>RB2716XF</t>
  </si>
  <si>
    <t>Rib Drilling Eccentric Tip Positive Rake</t>
  </si>
  <si>
    <t>Silver</t>
  </si>
  <si>
    <t>D/BIT RIB 27MM 16MM SHK</t>
  </si>
  <si>
    <t xml:space="preserve">POS RAKE XTR/FLUSH </t>
  </si>
  <si>
    <t>SB2816CF</t>
  </si>
  <si>
    <t>Spade Bit</t>
  </si>
  <si>
    <t>White</t>
  </si>
  <si>
    <t>D/BIT FULL SPADE 28MM 16MM SHK</t>
  </si>
  <si>
    <t>CENTRE FLUSH</t>
  </si>
  <si>
    <t>KS2716CF</t>
  </si>
  <si>
    <t>Modified Spade</t>
  </si>
  <si>
    <t>D/BIT SPADE 27MM 16MM SHK</t>
  </si>
  <si>
    <t>CENT/FLUSH</t>
  </si>
  <si>
    <t>NN2716CF</t>
  </si>
  <si>
    <t>NN</t>
  </si>
  <si>
    <t>D/BIT SPADE 27MM 16MM SHK SDC</t>
  </si>
  <si>
    <t>CENT/FLUSH (Small Drop Centre)</t>
  </si>
  <si>
    <t>PDC2816F</t>
  </si>
  <si>
    <t>Polycrystalline Diamond Compact</t>
  </si>
  <si>
    <t>D/BIT Polycrystalline Diamond Compact/PCD 28MM FULL DISK</t>
  </si>
  <si>
    <t>16MM SHK NEG RAKE XTRA/FLUSH</t>
  </si>
  <si>
    <t>REAM40SQTHF</t>
  </si>
  <si>
    <t>SQTHF</t>
  </si>
  <si>
    <t>REAMER 40MM F/MALE SQTHD</t>
  </si>
  <si>
    <t>Mine Hanger</t>
  </si>
  <si>
    <t>Style</t>
  </si>
  <si>
    <t>Plate</t>
  </si>
  <si>
    <t>Drawing No.</t>
  </si>
  <si>
    <t>Hanger Nuts</t>
  </si>
  <si>
    <t>MH7948</t>
  </si>
  <si>
    <t>M/HANG NUT 20MM T/BAR NUT C/W</t>
  </si>
  <si>
    <t>WELDED 12MM RND HOOK, BAG 50</t>
  </si>
  <si>
    <t>MH7948EZWA</t>
  </si>
  <si>
    <t>EZ</t>
  </si>
  <si>
    <t>M/HANG NUT 20MM T/BAR NUT WA</t>
  </si>
  <si>
    <t>ZINC COATED</t>
  </si>
  <si>
    <t>MH7948WA</t>
  </si>
  <si>
    <t>MH7985</t>
  </si>
  <si>
    <t>M/HANG BRKT M24 OZ-NUT C/W</t>
  </si>
  <si>
    <t>12MM BAR CLOSED HOOK</t>
  </si>
  <si>
    <t>MH7985EZ</t>
  </si>
  <si>
    <t>M/HANG BRKT M24 OZ NUT C/W</t>
  </si>
  <si>
    <t>12MM BAR CLOSED HOOK- ZINC</t>
  </si>
  <si>
    <t>MH7985LH</t>
  </si>
  <si>
    <t>85LH</t>
  </si>
  <si>
    <t>M/HANG BRKT M24 L/H OZ-NUT C/W</t>
  </si>
  <si>
    <t>MH7985LHEZ</t>
  </si>
  <si>
    <t>12MM BAR CLOSED HOOK-ZINC COAT</t>
  </si>
  <si>
    <t>MH7985LHEZWA</t>
  </si>
  <si>
    <t>12MM BAR CLOSED HOOK-ZINC WA</t>
  </si>
  <si>
    <t>Hanger Hooks</t>
  </si>
  <si>
    <t>MH8033</t>
  </si>
  <si>
    <t>HANGER BRACKET 3 HOOK, FIXED</t>
  </si>
  <si>
    <t>751MM TOTAL LTH/ON FLAT BAR</t>
  </si>
  <si>
    <t>MH8033WA</t>
  </si>
  <si>
    <t>WA-751MM TOTAL LTH/ON FLAT BAR</t>
  </si>
  <si>
    <t>MH8036GWA</t>
  </si>
  <si>
    <t>M/HANG BRKT, 4 HOOK, 16MM RND</t>
  </si>
  <si>
    <t>981MM TOT LTH/ON FLAT BAR GALV</t>
  </si>
  <si>
    <t>MH8036WA</t>
  </si>
  <si>
    <t>981MM TOT LTH/ON FLAT BAR</t>
  </si>
  <si>
    <t>MH8038</t>
  </si>
  <si>
    <t>M/HANG BRKT 3 HOOK C/W HOOK</t>
  </si>
  <si>
    <t>(SUIT 110mm POLY PIPE)</t>
  </si>
  <si>
    <t>MH8040</t>
  </si>
  <si>
    <t>M/HANG BRKT 4 HOOK C/W HOOK</t>
  </si>
  <si>
    <t>M Clips</t>
  </si>
  <si>
    <t>MH8006</t>
  </si>
  <si>
    <t>06</t>
  </si>
  <si>
    <t>CLIP M TYPE 20Wx3T (YELLOW)</t>
  </si>
  <si>
    <t>DSI DRG: 42 17 4376 REV B</t>
  </si>
  <si>
    <t>Brackets Keyhole</t>
  </si>
  <si>
    <t>MH7471</t>
  </si>
  <si>
    <t>M/HANG BRKT ANGLE 100Lg 6MM</t>
  </si>
  <si>
    <t>100X100X6 1 KEYHOLE &amp; 1 HOLE</t>
  </si>
  <si>
    <t>MH7471B</t>
  </si>
  <si>
    <t>M/HANG BRKT ANGLE 100Lg 10MM</t>
  </si>
  <si>
    <t>100x100x10 1 KEYHOLE 1 HOLE</t>
  </si>
  <si>
    <t>MH7471G</t>
  </si>
  <si>
    <t>M/HANG BRKT ANGLE 100Lg/GALV</t>
  </si>
  <si>
    <t>MH7479</t>
  </si>
  <si>
    <t>M/HANG BRKT DOUBLE C/FIX 130Lg</t>
  </si>
  <si>
    <t>100X100X6 2xKEYHOLE 1xHOLE</t>
  </si>
  <si>
    <t>MH7480</t>
  </si>
  <si>
    <t>M/HANG BRKT TREBLE C/FIX 210Lg</t>
  </si>
  <si>
    <t>3 KEYHOLE - 8mm</t>
  </si>
  <si>
    <t>MH7507G</t>
  </si>
  <si>
    <t>07</t>
  </si>
  <si>
    <t>M/HANG BRKT 5 KEYHOLE 500Lg</t>
  </si>
  <si>
    <t>(1x27D HOLE) GALV 100X100X6</t>
  </si>
  <si>
    <t>MH7513G</t>
  </si>
  <si>
    <t>M/HANG BRACKET, 320X150X131</t>
  </si>
  <si>
    <t>FAN HANGING BRACKET GAL</t>
  </si>
  <si>
    <t>MH7513GWA</t>
  </si>
  <si>
    <t>FAN HANGING BRACKET GAL - WA</t>
  </si>
  <si>
    <t>MH7523</t>
  </si>
  <si>
    <t>M/HANG BRKT 750lg C/W 3 KEY</t>
  </si>
  <si>
    <t>3 DRILL HOLES &amp; 3 X 1M CHAIN</t>
  </si>
  <si>
    <t>MH7523G</t>
  </si>
  <si>
    <t>3 DRILL &amp; 3X1M CHAIN  GALV</t>
  </si>
  <si>
    <t>MH7525</t>
  </si>
  <si>
    <t>M/HANG BRKT 220lg C/W 1 KEY</t>
  </si>
  <si>
    <t>&amp; 1X1M CHAIN 100X100X8MM</t>
  </si>
  <si>
    <t>MH7525G</t>
  </si>
  <si>
    <t>M/HANG BRKT 220LG C/W 1 KEY &amp;</t>
  </si>
  <si>
    <t>1X1M CHAIN 100X100X8MM GALV</t>
  </si>
  <si>
    <t>MH7526</t>
  </si>
  <si>
    <t>M/HANG BRKT 900lg 7 KEYHOLE</t>
  </si>
  <si>
    <t>3X26D HOLE - 100X100X8MM</t>
  </si>
  <si>
    <t>MH7528</t>
  </si>
  <si>
    <t>M/HANG BRKT 6 KEYHOLE 710 lg</t>
  </si>
  <si>
    <t>(3x26mm C/H) 100x100x8</t>
  </si>
  <si>
    <t>West Australia</t>
  </si>
  <si>
    <t>1. Type</t>
  </si>
  <si>
    <t>2.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</si>
</sst>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name val="Helvetica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Aptos Narrow"/>
      <scheme val="minor"/>
    </font>
    <font>
      <sz val="1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indexed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4" fillId="0" borderId="0" xfId="0" applyFont="1"/>
    <xf numFmtId="0" fontId="0" fillId="0" borderId="0" xfId="0" quotePrefix="1" applyAlignment="1">
      <alignment horizontal="center"/>
    </xf>
    <xf numFmtId="49" fontId="4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/>
    <xf numFmtId="0" fontId="0" fillId="0" borderId="1" xfId="0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6" fillId="0" borderId="5" xfId="0" applyFont="1" applyBorder="1"/>
    <xf numFmtId="0" fontId="6" fillId="0" borderId="5" xfId="0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6" fillId="0" borderId="6" xfId="0" applyFont="1" applyBorder="1"/>
    <xf numFmtId="0" fontId="6" fillId="0" borderId="6" xfId="0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4" fillId="3" borderId="7" xfId="0" applyFont="1" applyFill="1" applyBorder="1"/>
    <xf numFmtId="0" fontId="4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8" xfId="0" applyFill="1" applyBorder="1"/>
    <xf numFmtId="0" fontId="0" fillId="3" borderId="9" xfId="0" applyFill="1" applyBorder="1"/>
    <xf numFmtId="0" fontId="0" fillId="4" borderId="0" xfId="0" applyFill="1"/>
    <xf numFmtId="0" fontId="4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4" fillId="0" borderId="11" xfId="0" applyFont="1" applyBorder="1" applyAlignment="1">
      <alignment horizontal="center"/>
    </xf>
    <xf numFmtId="0" fontId="0" fillId="0" borderId="11" xfId="0" applyBorder="1"/>
    <xf numFmtId="0" fontId="0" fillId="4" borderId="13" xfId="0" applyFill="1" applyBorder="1"/>
    <xf numFmtId="0" fontId="4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/>
    <xf numFmtId="0" fontId="0" fillId="0" borderId="15" xfId="0" applyBorder="1"/>
    <xf numFmtId="0" fontId="0" fillId="3" borderId="1" xfId="0" applyFill="1" applyBorder="1" applyAlignment="1">
      <alignment horizontal="center"/>
    </xf>
    <xf numFmtId="0" fontId="4" fillId="3" borderId="8" xfId="0" applyFont="1" applyFill="1" applyBorder="1"/>
    <xf numFmtId="0" fontId="0" fillId="4" borderId="16" xfId="0" applyFill="1" applyBorder="1"/>
    <xf numFmtId="0" fontId="4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4" borderId="19" xfId="0" applyFill="1" applyBorder="1"/>
    <xf numFmtId="0" fontId="0" fillId="4" borderId="20" xfId="0" applyFill="1" applyBorder="1"/>
    <xf numFmtId="0" fontId="3" fillId="5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/>
    </xf>
    <xf numFmtId="0" fontId="3" fillId="5" borderId="17" xfId="0" applyFont="1" applyFill="1" applyBorder="1"/>
    <xf numFmtId="0" fontId="0" fillId="0" borderId="17" xfId="0" applyBorder="1"/>
    <xf numFmtId="0" fontId="4" fillId="0" borderId="17" xfId="0" applyFont="1" applyBorder="1"/>
    <xf numFmtId="0" fontId="0" fillId="0" borderId="14" xfId="0" applyBorder="1"/>
    <xf numFmtId="0" fontId="3" fillId="5" borderId="0" xfId="0" applyFont="1" applyFill="1"/>
    <xf numFmtId="3" fontId="4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3" fillId="5" borderId="14" xfId="0" applyFont="1" applyFill="1" applyBorder="1"/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 textRotation="90" wrapText="1"/>
    </xf>
    <xf numFmtId="0" fontId="0" fillId="0" borderId="14" xfId="0" applyBorder="1" applyAlignment="1">
      <alignment horizontal="center" textRotation="90" wrapText="1"/>
    </xf>
    <xf numFmtId="0" fontId="3" fillId="0" borderId="14" xfId="0" applyFont="1" applyBorder="1" applyAlignment="1">
      <alignment horizontal="center" textRotation="90"/>
    </xf>
    <xf numFmtId="0" fontId="3" fillId="0" borderId="14" xfId="0" applyFont="1" applyBorder="1" applyAlignment="1">
      <alignment horizontal="center" vertical="center"/>
    </xf>
    <xf numFmtId="0" fontId="0" fillId="0" borderId="10" xfId="0" applyBorder="1"/>
    <xf numFmtId="0" fontId="4" fillId="0" borderId="10" xfId="0" applyFont="1" applyBorder="1"/>
    <xf numFmtId="0" fontId="4" fillId="0" borderId="11" xfId="0" applyFont="1" applyBorder="1"/>
    <xf numFmtId="0" fontId="4" fillId="0" borderId="11" xfId="0" applyFont="1" applyBorder="1" applyAlignment="1">
      <alignment horizontal="left"/>
    </xf>
    <xf numFmtId="3" fontId="4" fillId="0" borderId="11" xfId="0" applyNumberFormat="1" applyFont="1" applyBorder="1" applyAlignment="1">
      <alignment horizontal="center"/>
    </xf>
    <xf numFmtId="0" fontId="7" fillId="0" borderId="10" xfId="0" applyFont="1" applyBorder="1"/>
    <xf numFmtId="0" fontId="8" fillId="0" borderId="11" xfId="0" applyFont="1" applyBorder="1" applyAlignment="1">
      <alignment horizontal="center"/>
    </xf>
    <xf numFmtId="0" fontId="8" fillId="0" borderId="10" xfId="0" applyFont="1" applyBorder="1"/>
    <xf numFmtId="0" fontId="8" fillId="0" borderId="11" xfId="0" applyFont="1" applyBorder="1"/>
    <xf numFmtId="0" fontId="3" fillId="0" borderId="10" xfId="0" applyFont="1" applyBorder="1"/>
    <xf numFmtId="0" fontId="4" fillId="0" borderId="14" xfId="0" applyFont="1" applyBorder="1"/>
    <xf numFmtId="0" fontId="4" fillId="0" borderId="15" xfId="0" applyFont="1" applyBorder="1" applyAlignment="1">
      <alignment horizontal="center"/>
    </xf>
    <xf numFmtId="0" fontId="4" fillId="0" borderId="15" xfId="0" applyFont="1" applyBorder="1"/>
    <xf numFmtId="0" fontId="0" fillId="0" borderId="1" xfId="0" applyBorder="1" applyAlignment="1">
      <alignment horizontal="left"/>
    </xf>
    <xf numFmtId="0" fontId="4" fillId="0" borderId="14" xfId="0" quotePrefix="1" applyFont="1" applyBorder="1" applyAlignment="1">
      <alignment horizontal="center"/>
    </xf>
    <xf numFmtId="0" fontId="0" fillId="0" borderId="14" xfId="0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3" fillId="0" borderId="14" xfId="0" applyFont="1" applyBorder="1"/>
    <xf numFmtId="0" fontId="3" fillId="0" borderId="15" xfId="0" applyFont="1" applyBorder="1" applyAlignment="1">
      <alignment horizontal="center"/>
    </xf>
    <xf numFmtId="0" fontId="5" fillId="0" borderId="21" xfId="0" applyFont="1" applyBorder="1"/>
    <xf numFmtId="0" fontId="5" fillId="0" borderId="22" xfId="0" applyFont="1" applyBorder="1"/>
    <xf numFmtId="0" fontId="3" fillId="0" borderId="1" xfId="0" applyFont="1" applyBorder="1" applyAlignment="1">
      <alignment horizontal="center" vertical="center" textRotation="90"/>
    </xf>
    <xf numFmtId="0" fontId="3" fillId="0" borderId="19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left" wrapText="1"/>
    </xf>
    <xf numFmtId="0" fontId="3" fillId="0" borderId="14" xfId="0" applyFont="1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0" fillId="6" borderId="1" xfId="0" applyFill="1" applyBorder="1"/>
    <xf numFmtId="0" fontId="9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7" borderId="1" xfId="0" applyFill="1" applyBorder="1"/>
    <xf numFmtId="0" fontId="4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3" borderId="1" xfId="0" applyFill="1" applyBorder="1"/>
    <xf numFmtId="0" fontId="4" fillId="3" borderId="1" xfId="0" applyFont="1" applyFill="1" applyBorder="1"/>
    <xf numFmtId="0" fontId="4" fillId="0" borderId="19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I5" sqref="I5"/>
    </sheetView>
  </sheetViews>
  <sheetFormatPr baseColWidth="10" defaultRowHeight="16" x14ac:dyDescent="0.2"/>
  <cols>
    <col min="1" max="1" width="23.33203125" bestFit="1" customWidth="1"/>
    <col min="2" max="2" width="36.1640625" bestFit="1" customWidth="1"/>
    <col min="3" max="3" width="38.83203125" bestFit="1" customWidth="1"/>
    <col min="5" max="5" width="24.33203125" bestFit="1" customWidth="1"/>
    <col min="6" max="6" width="67.6640625" bestFit="1" customWidth="1"/>
    <col min="8" max="8" width="11.6640625" bestFit="1" customWidth="1"/>
    <col min="9" max="9" width="61" bestFit="1" customWidth="1"/>
    <col min="10" max="10" width="40.33203125" bestFit="1" customWidth="1"/>
  </cols>
  <sheetData>
    <row r="1" spans="1:10" ht="16" customHeight="1" thickBo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7</v>
      </c>
      <c r="I1" s="10" t="s">
        <v>8</v>
      </c>
      <c r="J1" s="11" t="s">
        <v>9</v>
      </c>
    </row>
    <row r="2" spans="1:10" x14ac:dyDescent="0.2">
      <c r="A2" t="s">
        <v>10</v>
      </c>
      <c r="B2" s="2" t="s">
        <v>11</v>
      </c>
      <c r="C2" s="1">
        <v>4</v>
      </c>
      <c r="D2" s="1">
        <v>150</v>
      </c>
      <c r="E2" s="2" t="s">
        <v>12</v>
      </c>
      <c r="F2" s="1"/>
      <c r="G2" s="3" t="s">
        <v>13</v>
      </c>
      <c r="I2" s="4" t="s">
        <v>14</v>
      </c>
      <c r="J2" s="4" t="s">
        <v>15</v>
      </c>
    </row>
    <row r="3" spans="1:10" x14ac:dyDescent="0.2">
      <c r="A3" s="4" t="s">
        <v>16</v>
      </c>
      <c r="B3" s="2" t="s">
        <v>17</v>
      </c>
      <c r="C3" s="1">
        <v>4</v>
      </c>
      <c r="D3" s="3" t="s">
        <v>18</v>
      </c>
      <c r="E3" s="2" t="s">
        <v>12</v>
      </c>
      <c r="F3" s="1" t="s">
        <v>19</v>
      </c>
      <c r="G3" s="5" t="s">
        <v>13</v>
      </c>
      <c r="I3" t="s">
        <v>20</v>
      </c>
      <c r="J3" s="4" t="s">
        <v>21</v>
      </c>
    </row>
    <row r="4" spans="1:10" x14ac:dyDescent="0.2">
      <c r="A4" t="s">
        <v>22</v>
      </c>
      <c r="B4" s="2" t="s">
        <v>23</v>
      </c>
      <c r="C4" s="1">
        <v>4</v>
      </c>
      <c r="D4" s="1">
        <v>150</v>
      </c>
      <c r="E4" s="2" t="s">
        <v>24</v>
      </c>
      <c r="F4" s="2"/>
      <c r="G4" s="3" t="s">
        <v>25</v>
      </c>
      <c r="I4" s="4" t="s">
        <v>26</v>
      </c>
      <c r="J4" s="4" t="s">
        <v>27</v>
      </c>
    </row>
    <row r="5" spans="1:10" x14ac:dyDescent="0.2">
      <c r="A5" s="4" t="s">
        <v>28</v>
      </c>
      <c r="B5" s="2" t="s">
        <v>29</v>
      </c>
      <c r="C5" s="1">
        <v>4</v>
      </c>
      <c r="D5" s="2">
        <v>210</v>
      </c>
      <c r="E5" s="2" t="s">
        <v>24</v>
      </c>
      <c r="F5" s="1"/>
      <c r="G5" s="3" t="s">
        <v>13</v>
      </c>
      <c r="I5" t="s">
        <v>30</v>
      </c>
      <c r="J5" t="s">
        <v>31</v>
      </c>
    </row>
    <row r="6" spans="1:10" x14ac:dyDescent="0.2">
      <c r="A6" s="4" t="s">
        <v>32</v>
      </c>
      <c r="B6" s="2" t="s">
        <v>33</v>
      </c>
      <c r="C6" s="1">
        <v>4</v>
      </c>
      <c r="D6" s="2">
        <v>180</v>
      </c>
      <c r="E6" s="2" t="s">
        <v>24</v>
      </c>
      <c r="F6" s="1"/>
      <c r="G6" s="3" t="s">
        <v>13</v>
      </c>
      <c r="I6" t="s">
        <v>34</v>
      </c>
      <c r="J6" t="s">
        <v>35</v>
      </c>
    </row>
    <row r="7" spans="1:10" x14ac:dyDescent="0.2">
      <c r="A7" s="4" t="s">
        <v>36</v>
      </c>
      <c r="B7" s="2" t="s">
        <v>37</v>
      </c>
      <c r="C7" s="1">
        <v>4</v>
      </c>
      <c r="D7" s="2">
        <v>180</v>
      </c>
      <c r="E7" s="2" t="s">
        <v>24</v>
      </c>
      <c r="F7" s="1"/>
      <c r="G7" s="3" t="s">
        <v>13</v>
      </c>
      <c r="I7" s="4" t="s">
        <v>38</v>
      </c>
      <c r="J7" t="s">
        <v>39</v>
      </c>
    </row>
    <row r="8" spans="1:10" x14ac:dyDescent="0.2">
      <c r="A8" s="4" t="s">
        <v>40</v>
      </c>
      <c r="B8" s="2" t="s">
        <v>41</v>
      </c>
      <c r="C8" s="1">
        <v>4</v>
      </c>
      <c r="D8" s="1">
        <v>180</v>
      </c>
      <c r="E8" s="2" t="s">
        <v>42</v>
      </c>
      <c r="F8" s="1"/>
      <c r="G8" s="2">
        <v>550</v>
      </c>
      <c r="I8" t="s">
        <v>43</v>
      </c>
      <c r="J8" t="s">
        <v>44</v>
      </c>
    </row>
    <row r="9" spans="1:10" x14ac:dyDescent="0.2">
      <c r="A9" s="4" t="s">
        <v>45</v>
      </c>
      <c r="B9" s="2" t="s">
        <v>41</v>
      </c>
      <c r="C9" s="1">
        <v>5</v>
      </c>
      <c r="D9" s="1">
        <v>240</v>
      </c>
      <c r="E9" s="2" t="s">
        <v>46</v>
      </c>
      <c r="F9" s="2"/>
      <c r="G9" s="3" t="s">
        <v>47</v>
      </c>
      <c r="I9" s="4" t="s">
        <v>48</v>
      </c>
      <c r="J9" t="s">
        <v>49</v>
      </c>
    </row>
    <row r="10" spans="1:10" x14ac:dyDescent="0.2">
      <c r="A10" s="4" t="s">
        <v>50</v>
      </c>
      <c r="B10" s="2" t="s">
        <v>41</v>
      </c>
      <c r="C10" s="1">
        <v>16</v>
      </c>
      <c r="D10" s="1">
        <v>15</v>
      </c>
      <c r="E10" s="2" t="s">
        <v>51</v>
      </c>
      <c r="F10" s="2"/>
      <c r="G10" s="3" t="s">
        <v>52</v>
      </c>
      <c r="I10" s="4" t="s">
        <v>53</v>
      </c>
      <c r="J10" t="s">
        <v>54</v>
      </c>
    </row>
    <row r="11" spans="1:10" x14ac:dyDescent="0.2">
      <c r="A11" t="s">
        <v>55</v>
      </c>
      <c r="B11" s="2" t="s">
        <v>56</v>
      </c>
      <c r="C11" s="1">
        <v>4</v>
      </c>
      <c r="D11" s="1">
        <v>300</v>
      </c>
      <c r="E11" s="2" t="s">
        <v>57</v>
      </c>
      <c r="F11" s="1"/>
      <c r="G11" s="2"/>
      <c r="I11" s="4" t="s">
        <v>58</v>
      </c>
      <c r="J11" t="s">
        <v>59</v>
      </c>
    </row>
    <row r="12" spans="1:10" x14ac:dyDescent="0.2">
      <c r="A12" s="4" t="s">
        <v>60</v>
      </c>
      <c r="B12" s="2" t="s">
        <v>61</v>
      </c>
      <c r="C12" s="1">
        <v>4</v>
      </c>
      <c r="D12" s="1">
        <v>240</v>
      </c>
      <c r="E12" s="2" t="s">
        <v>62</v>
      </c>
      <c r="F12" s="1"/>
      <c r="G12" s="2"/>
      <c r="H12" s="2" t="s">
        <v>63</v>
      </c>
      <c r="I12" s="4" t="s">
        <v>64</v>
      </c>
      <c r="J12" t="s">
        <v>65</v>
      </c>
    </row>
    <row r="13" spans="1:10" x14ac:dyDescent="0.2">
      <c r="A13" s="4" t="s">
        <v>66</v>
      </c>
      <c r="B13" s="2" t="s">
        <v>67</v>
      </c>
      <c r="C13" s="1">
        <v>5</v>
      </c>
      <c r="D13" s="1">
        <v>225</v>
      </c>
      <c r="E13" s="2" t="s">
        <v>68</v>
      </c>
      <c r="F13" s="2" t="s">
        <v>69</v>
      </c>
      <c r="G13" s="3"/>
      <c r="I13" t="s">
        <v>70</v>
      </c>
      <c r="J13" t="s">
        <v>71</v>
      </c>
    </row>
    <row r="14" spans="1:10" x14ac:dyDescent="0.2">
      <c r="A14" t="s">
        <v>72</v>
      </c>
      <c r="B14" s="2" t="s">
        <v>73</v>
      </c>
      <c r="C14" s="1">
        <v>4</v>
      </c>
      <c r="D14" s="1">
        <v>180</v>
      </c>
      <c r="E14" s="2" t="s">
        <v>42</v>
      </c>
      <c r="F14" s="1"/>
      <c r="G14" s="1"/>
      <c r="H14" s="2" t="s">
        <v>63</v>
      </c>
      <c r="I14" t="s">
        <v>74</v>
      </c>
      <c r="J14" t="s">
        <v>75</v>
      </c>
    </row>
    <row r="15" spans="1:10" x14ac:dyDescent="0.2">
      <c r="A15" s="4" t="s">
        <v>76</v>
      </c>
      <c r="B15" s="2" t="s">
        <v>77</v>
      </c>
      <c r="C15" s="1">
        <v>2</v>
      </c>
      <c r="D15" s="1">
        <v>220</v>
      </c>
      <c r="E15" s="1" t="s">
        <v>78</v>
      </c>
      <c r="F15" s="1" t="s">
        <v>19</v>
      </c>
      <c r="G15" s="1"/>
      <c r="H15" s="2" t="s">
        <v>79</v>
      </c>
      <c r="I15" t="s">
        <v>80</v>
      </c>
      <c r="J15" t="s">
        <v>81</v>
      </c>
    </row>
    <row r="16" spans="1:10" x14ac:dyDescent="0.2">
      <c r="A16" s="4" t="s">
        <v>82</v>
      </c>
      <c r="B16" s="2" t="s">
        <v>83</v>
      </c>
      <c r="C16" s="1">
        <v>2</v>
      </c>
      <c r="D16" s="1">
        <v>240</v>
      </c>
      <c r="E16" s="2" t="s">
        <v>84</v>
      </c>
      <c r="F16" s="2" t="s">
        <v>19</v>
      </c>
      <c r="G16" s="2"/>
      <c r="H16" s="2" t="s">
        <v>79</v>
      </c>
      <c r="I16" t="s">
        <v>85</v>
      </c>
      <c r="J16" t="s">
        <v>86</v>
      </c>
    </row>
    <row r="17" spans="1:9" x14ac:dyDescent="0.2">
      <c r="G17" s="1"/>
    </row>
    <row r="18" spans="1:9" x14ac:dyDescent="0.2">
      <c r="A18" s="4" t="s">
        <v>87</v>
      </c>
      <c r="G18" s="1"/>
    </row>
    <row r="19" spans="1:9" x14ac:dyDescent="0.2">
      <c r="A19" t="s">
        <v>88</v>
      </c>
      <c r="G19" s="1"/>
    </row>
    <row r="20" spans="1:9" x14ac:dyDescent="0.2">
      <c r="B20" s="1"/>
      <c r="C20" s="1"/>
      <c r="D20" s="1"/>
      <c r="E20" s="1"/>
      <c r="F20" s="1"/>
      <c r="G20" s="1"/>
      <c r="H20" s="1"/>
      <c r="I20" t="s">
        <v>89</v>
      </c>
    </row>
    <row r="21" spans="1:9" x14ac:dyDescent="0.2">
      <c r="A21" s="4" t="s">
        <v>90</v>
      </c>
      <c r="B21" s="2" t="s">
        <v>23</v>
      </c>
      <c r="C21" s="1">
        <v>4</v>
      </c>
      <c r="D21" s="1">
        <v>240</v>
      </c>
      <c r="E21" s="2" t="s">
        <v>91</v>
      </c>
      <c r="F21" s="2" t="s">
        <v>92</v>
      </c>
      <c r="G21" s="6" t="s">
        <v>13</v>
      </c>
      <c r="H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C16" sqref="C16"/>
    </sheetView>
  </sheetViews>
  <sheetFormatPr baseColWidth="10" defaultRowHeight="16" x14ac:dyDescent="0.2"/>
  <cols>
    <col min="1" max="1" width="16.6640625" bestFit="1" customWidth="1"/>
    <col min="2" max="2" width="30.83203125" bestFit="1" customWidth="1"/>
    <col min="3" max="3" width="14.33203125" bestFit="1" customWidth="1"/>
    <col min="4" max="4" width="6.5" bestFit="1" customWidth="1"/>
    <col min="5" max="5" width="24.33203125" bestFit="1" customWidth="1"/>
    <col min="6" max="6" width="9.1640625" bestFit="1" customWidth="1"/>
    <col min="7" max="7" width="37.83203125" bestFit="1" customWidth="1"/>
    <col min="8" max="8" width="33" bestFit="1" customWidth="1"/>
  </cols>
  <sheetData>
    <row r="1" spans="1:8" ht="17" customHeight="1" thickBot="1" x14ac:dyDescent="0.25">
      <c r="A1" s="13" t="s">
        <v>0</v>
      </c>
      <c r="B1" s="14" t="s">
        <v>1</v>
      </c>
      <c r="C1" s="14" t="s">
        <v>93</v>
      </c>
      <c r="D1" s="14" t="s">
        <v>3</v>
      </c>
      <c r="E1" s="14" t="s">
        <v>4</v>
      </c>
      <c r="F1" s="14" t="s">
        <v>6</v>
      </c>
      <c r="G1" s="14" t="s">
        <v>8</v>
      </c>
      <c r="H1" s="15" t="s">
        <v>9</v>
      </c>
    </row>
    <row r="2" spans="1:8" x14ac:dyDescent="0.2">
      <c r="A2" s="4" t="s">
        <v>94</v>
      </c>
      <c r="B2" s="2" t="s">
        <v>95</v>
      </c>
      <c r="C2" s="1"/>
      <c r="D2" s="1">
        <v>420</v>
      </c>
      <c r="E2" s="2" t="s">
        <v>96</v>
      </c>
      <c r="F2" s="1"/>
      <c r="G2" s="4" t="s">
        <v>97</v>
      </c>
      <c r="H2" s="4" t="s">
        <v>98</v>
      </c>
    </row>
    <row r="3" spans="1:8" x14ac:dyDescent="0.2">
      <c r="A3" t="s">
        <v>99</v>
      </c>
      <c r="B3" s="2" t="s">
        <v>100</v>
      </c>
      <c r="C3" s="1"/>
      <c r="D3" s="1">
        <v>410</v>
      </c>
      <c r="E3" s="2" t="s">
        <v>101</v>
      </c>
      <c r="F3" s="1"/>
      <c r="G3" t="s">
        <v>102</v>
      </c>
      <c r="H3" t="s">
        <v>103</v>
      </c>
    </row>
    <row r="4" spans="1:8" x14ac:dyDescent="0.2">
      <c r="A4" t="s">
        <v>104</v>
      </c>
      <c r="B4" s="2" t="s">
        <v>105</v>
      </c>
      <c r="C4" s="2" t="s">
        <v>106</v>
      </c>
      <c r="D4" s="1">
        <v>620</v>
      </c>
      <c r="E4" s="2"/>
      <c r="F4" s="2" t="s">
        <v>107</v>
      </c>
      <c r="G4" s="4" t="s">
        <v>108</v>
      </c>
      <c r="H4" t="s">
        <v>109</v>
      </c>
    </row>
    <row r="5" spans="1:8" x14ac:dyDescent="0.2">
      <c r="A5" t="s">
        <v>110</v>
      </c>
      <c r="B5" s="2" t="s">
        <v>111</v>
      </c>
      <c r="C5" s="2" t="s">
        <v>106</v>
      </c>
      <c r="D5" s="1">
        <v>620</v>
      </c>
      <c r="E5" s="2"/>
      <c r="F5" s="2" t="s">
        <v>107</v>
      </c>
      <c r="G5" t="s">
        <v>112</v>
      </c>
      <c r="H5" t="s">
        <v>113</v>
      </c>
    </row>
    <row r="6" spans="1:8" x14ac:dyDescent="0.2">
      <c r="A6" t="s">
        <v>114</v>
      </c>
      <c r="B6" s="2" t="s">
        <v>115</v>
      </c>
      <c r="C6" s="1"/>
      <c r="D6" s="1">
        <v>410</v>
      </c>
      <c r="E6" s="2" t="s">
        <v>116</v>
      </c>
      <c r="F6" s="2" t="s">
        <v>117</v>
      </c>
      <c r="G6" t="s">
        <v>118</v>
      </c>
      <c r="H6" t="s">
        <v>119</v>
      </c>
    </row>
    <row r="7" spans="1:8" x14ac:dyDescent="0.2">
      <c r="A7" s="4" t="s">
        <v>120</v>
      </c>
      <c r="B7" s="2" t="s">
        <v>115</v>
      </c>
      <c r="C7" s="1"/>
      <c r="D7" s="1">
        <v>410</v>
      </c>
      <c r="E7" s="2" t="s">
        <v>116</v>
      </c>
      <c r="F7" s="1" t="s">
        <v>121</v>
      </c>
      <c r="G7" s="4" t="s">
        <v>118</v>
      </c>
      <c r="H7" t="s">
        <v>122</v>
      </c>
    </row>
    <row r="8" spans="1:8" x14ac:dyDescent="0.2">
      <c r="A8" s="4" t="s">
        <v>123</v>
      </c>
      <c r="B8" s="2" t="s">
        <v>124</v>
      </c>
      <c r="C8" s="1"/>
      <c r="D8" s="1">
        <v>410</v>
      </c>
      <c r="E8" s="2" t="s">
        <v>116</v>
      </c>
      <c r="F8" s="2" t="s">
        <v>117</v>
      </c>
      <c r="G8" t="s">
        <v>125</v>
      </c>
      <c r="H8" t="s">
        <v>126</v>
      </c>
    </row>
    <row r="9" spans="1:8" x14ac:dyDescent="0.2">
      <c r="A9" t="s">
        <v>127</v>
      </c>
      <c r="B9" s="2" t="s">
        <v>124</v>
      </c>
      <c r="C9" s="1"/>
      <c r="D9" s="1">
        <v>410</v>
      </c>
      <c r="E9" s="2" t="s">
        <v>116</v>
      </c>
      <c r="F9" s="2" t="s">
        <v>121</v>
      </c>
      <c r="G9" t="s">
        <v>125</v>
      </c>
      <c r="H9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"/>
  <sheetViews>
    <sheetView topLeftCell="B1" workbookViewId="0">
      <selection activeCell="N43" sqref="N43"/>
    </sheetView>
  </sheetViews>
  <sheetFormatPr baseColWidth="10" defaultRowHeight="16" x14ac:dyDescent="0.2"/>
  <cols>
    <col min="1" max="1" width="20.6640625" bestFit="1" customWidth="1"/>
    <col min="2" max="2" width="39.83203125" bestFit="1" customWidth="1"/>
    <col min="3" max="3" width="11.83203125" bestFit="1" customWidth="1"/>
    <col min="4" max="4" width="14.1640625" bestFit="1" customWidth="1"/>
    <col min="6" max="6" width="15.6640625" bestFit="1" customWidth="1"/>
    <col min="7" max="7" width="12" bestFit="1" customWidth="1"/>
    <col min="11" max="11" width="15.83203125" bestFit="1" customWidth="1"/>
    <col min="12" max="12" width="13.83203125" bestFit="1" customWidth="1"/>
    <col min="13" max="13" width="15.1640625" bestFit="1" customWidth="1"/>
    <col min="14" max="14" width="39.83203125" bestFit="1" customWidth="1"/>
    <col min="15" max="15" width="42.5" bestFit="1" customWidth="1"/>
  </cols>
  <sheetData>
    <row r="1" spans="1:15" ht="16" customHeight="1" thickBot="1" x14ac:dyDescent="0.25">
      <c r="A1" s="13" t="s">
        <v>129</v>
      </c>
      <c r="B1" s="14" t="s">
        <v>130</v>
      </c>
      <c r="C1" s="14" t="s">
        <v>131</v>
      </c>
      <c r="D1" s="14" t="s">
        <v>132</v>
      </c>
      <c r="E1" s="14" t="s">
        <v>133</v>
      </c>
      <c r="F1" s="14" t="s">
        <v>134</v>
      </c>
      <c r="G1" s="14" t="s">
        <v>135</v>
      </c>
      <c r="H1" s="14" t="s">
        <v>136</v>
      </c>
      <c r="I1" s="14" t="s">
        <v>6</v>
      </c>
      <c r="J1" s="14" t="s">
        <v>137</v>
      </c>
      <c r="K1" s="14" t="s">
        <v>138</v>
      </c>
      <c r="L1" s="14" t="s">
        <v>139</v>
      </c>
      <c r="M1" s="14" t="s">
        <v>140</v>
      </c>
      <c r="N1" s="14" t="s">
        <v>141</v>
      </c>
      <c r="O1" s="15" t="s">
        <v>9</v>
      </c>
    </row>
    <row r="2" spans="1:15" x14ac:dyDescent="0.2">
      <c r="A2" s="19" t="s">
        <v>142</v>
      </c>
      <c r="B2" s="20" t="s">
        <v>143</v>
      </c>
      <c r="C2" s="20" t="s">
        <v>144</v>
      </c>
      <c r="D2" s="20">
        <v>1</v>
      </c>
      <c r="E2" s="20" t="s">
        <v>79</v>
      </c>
      <c r="F2" s="20"/>
      <c r="G2" s="21" t="s">
        <v>145</v>
      </c>
      <c r="H2" s="20" t="s">
        <v>144</v>
      </c>
      <c r="I2" s="20" t="s">
        <v>146</v>
      </c>
      <c r="J2" s="21" t="s">
        <v>147</v>
      </c>
      <c r="K2" s="20"/>
      <c r="L2" s="20" t="s">
        <v>148</v>
      </c>
      <c r="M2" s="20"/>
      <c r="N2" s="19" t="s">
        <v>149</v>
      </c>
      <c r="O2" s="19" t="s">
        <v>150</v>
      </c>
    </row>
    <row r="3" spans="1:15" x14ac:dyDescent="0.2">
      <c r="A3" s="16" t="s">
        <v>151</v>
      </c>
      <c r="B3" s="17" t="s">
        <v>143</v>
      </c>
      <c r="C3" s="17" t="s">
        <v>144</v>
      </c>
      <c r="D3" s="17">
        <v>1</v>
      </c>
      <c r="E3" s="17" t="s">
        <v>79</v>
      </c>
      <c r="F3" s="17"/>
      <c r="G3" s="18">
        <v>50</v>
      </c>
      <c r="H3" s="17" t="s">
        <v>144</v>
      </c>
      <c r="I3" s="17" t="s">
        <v>146</v>
      </c>
      <c r="J3" s="18">
        <v>5</v>
      </c>
      <c r="K3" s="17"/>
      <c r="L3" s="17" t="s">
        <v>148</v>
      </c>
      <c r="M3" s="17"/>
      <c r="N3" s="16" t="s">
        <v>152</v>
      </c>
      <c r="O3" s="16" t="s">
        <v>150</v>
      </c>
    </row>
    <row r="4" spans="1:15" x14ac:dyDescent="0.2">
      <c r="A4" s="16" t="s">
        <v>153</v>
      </c>
      <c r="B4" s="17" t="s">
        <v>143</v>
      </c>
      <c r="C4" s="17" t="s">
        <v>144</v>
      </c>
      <c r="D4" s="17">
        <v>1</v>
      </c>
      <c r="E4" s="17" t="s">
        <v>79</v>
      </c>
      <c r="F4" s="17"/>
      <c r="G4" s="18" t="s">
        <v>154</v>
      </c>
      <c r="H4" s="17" t="s">
        <v>144</v>
      </c>
      <c r="I4" s="17" t="s">
        <v>155</v>
      </c>
      <c r="J4" s="18" t="s">
        <v>147</v>
      </c>
      <c r="K4" s="17"/>
      <c r="L4" s="17" t="s">
        <v>148</v>
      </c>
      <c r="M4" s="17"/>
      <c r="N4" s="16" t="s">
        <v>156</v>
      </c>
      <c r="O4" s="16" t="s">
        <v>157</v>
      </c>
    </row>
    <row r="5" spans="1:15" x14ac:dyDescent="0.2">
      <c r="A5" s="16" t="s">
        <v>158</v>
      </c>
      <c r="B5" s="17" t="s">
        <v>143</v>
      </c>
      <c r="C5" s="17" t="s">
        <v>144</v>
      </c>
      <c r="D5" s="17">
        <v>1</v>
      </c>
      <c r="E5" s="17" t="s">
        <v>79</v>
      </c>
      <c r="F5" s="17"/>
      <c r="G5" s="18" t="s">
        <v>18</v>
      </c>
      <c r="H5" s="17" t="s">
        <v>144</v>
      </c>
      <c r="I5" s="17" t="s">
        <v>155</v>
      </c>
      <c r="J5" s="18" t="s">
        <v>147</v>
      </c>
      <c r="K5" s="17"/>
      <c r="L5" s="17"/>
      <c r="M5" s="17"/>
      <c r="N5" s="16" t="s">
        <v>159</v>
      </c>
      <c r="O5" s="16" t="s">
        <v>160</v>
      </c>
    </row>
    <row r="6" spans="1:15" x14ac:dyDescent="0.2">
      <c r="A6" s="16" t="s">
        <v>161</v>
      </c>
      <c r="B6" s="17" t="s">
        <v>143</v>
      </c>
      <c r="C6" s="17" t="s">
        <v>144</v>
      </c>
      <c r="D6" s="17">
        <v>1</v>
      </c>
      <c r="E6" s="17" t="s">
        <v>79</v>
      </c>
      <c r="F6" s="17"/>
      <c r="G6" s="18" t="s">
        <v>162</v>
      </c>
      <c r="H6" s="17" t="s">
        <v>144</v>
      </c>
      <c r="I6" s="17" t="s">
        <v>155</v>
      </c>
      <c r="J6" s="18" t="s">
        <v>147</v>
      </c>
      <c r="K6" s="17"/>
      <c r="L6" s="17" t="s">
        <v>79</v>
      </c>
      <c r="M6" s="17"/>
      <c r="N6" s="16" t="s">
        <v>163</v>
      </c>
      <c r="O6" s="16" t="s">
        <v>164</v>
      </c>
    </row>
    <row r="7" spans="1:15" x14ac:dyDescent="0.2">
      <c r="A7" s="16" t="s">
        <v>165</v>
      </c>
      <c r="B7" s="17" t="s">
        <v>143</v>
      </c>
      <c r="C7" s="17" t="s">
        <v>144</v>
      </c>
      <c r="D7" s="17">
        <v>1</v>
      </c>
      <c r="E7" s="17" t="s">
        <v>79</v>
      </c>
      <c r="F7" s="17"/>
      <c r="G7" s="18" t="s">
        <v>162</v>
      </c>
      <c r="H7" s="17" t="s">
        <v>144</v>
      </c>
      <c r="I7" s="17" t="s">
        <v>155</v>
      </c>
      <c r="J7" s="18" t="s">
        <v>166</v>
      </c>
      <c r="K7" s="17" t="s">
        <v>167</v>
      </c>
      <c r="L7" s="17"/>
      <c r="M7" s="17" t="s">
        <v>168</v>
      </c>
      <c r="N7" s="16" t="s">
        <v>169</v>
      </c>
      <c r="O7" s="16" t="s">
        <v>170</v>
      </c>
    </row>
    <row r="8" spans="1:15" x14ac:dyDescent="0.2">
      <c r="A8" s="16" t="s">
        <v>171</v>
      </c>
      <c r="B8" s="17" t="s">
        <v>143</v>
      </c>
      <c r="C8" s="17" t="s">
        <v>144</v>
      </c>
      <c r="D8" s="17">
        <v>1</v>
      </c>
      <c r="E8" s="17" t="s">
        <v>79</v>
      </c>
      <c r="F8" s="17"/>
      <c r="G8" s="18" t="s">
        <v>162</v>
      </c>
      <c r="H8" s="17" t="s">
        <v>144</v>
      </c>
      <c r="I8" s="17" t="s">
        <v>155</v>
      </c>
      <c r="J8" s="18" t="s">
        <v>147</v>
      </c>
      <c r="K8" s="17" t="s">
        <v>172</v>
      </c>
      <c r="L8" s="17"/>
      <c r="M8" s="17"/>
      <c r="N8" s="16" t="s">
        <v>173</v>
      </c>
      <c r="O8" s="16" t="s">
        <v>174</v>
      </c>
    </row>
    <row r="9" spans="1:15" x14ac:dyDescent="0.2">
      <c r="A9" s="16" t="s">
        <v>175</v>
      </c>
      <c r="B9" s="17" t="s">
        <v>143</v>
      </c>
      <c r="C9" s="17" t="s">
        <v>144</v>
      </c>
      <c r="D9" s="17">
        <v>1</v>
      </c>
      <c r="E9" s="17" t="s">
        <v>79</v>
      </c>
      <c r="F9" s="17"/>
      <c r="G9" s="18" t="s">
        <v>176</v>
      </c>
      <c r="H9" s="17" t="s">
        <v>144</v>
      </c>
      <c r="I9" s="17" t="s">
        <v>155</v>
      </c>
      <c r="J9" s="17">
        <v>10</v>
      </c>
      <c r="K9" s="17"/>
      <c r="L9" s="17" t="s">
        <v>148</v>
      </c>
      <c r="M9" s="17"/>
      <c r="N9" s="16" t="s">
        <v>177</v>
      </c>
      <c r="O9" s="16" t="s">
        <v>178</v>
      </c>
    </row>
    <row r="10" spans="1:15" x14ac:dyDescent="0.2">
      <c r="A10" s="16" t="s">
        <v>179</v>
      </c>
      <c r="B10" s="17" t="s">
        <v>143</v>
      </c>
      <c r="C10" s="17" t="s">
        <v>144</v>
      </c>
      <c r="D10" s="17">
        <v>1</v>
      </c>
      <c r="E10" s="17" t="s">
        <v>79</v>
      </c>
      <c r="F10" s="17"/>
      <c r="G10" s="18" t="s">
        <v>180</v>
      </c>
      <c r="H10" s="17" t="s">
        <v>144</v>
      </c>
      <c r="I10" s="17" t="s">
        <v>155</v>
      </c>
      <c r="J10" s="18" t="s">
        <v>147</v>
      </c>
      <c r="K10" s="17" t="s">
        <v>19</v>
      </c>
      <c r="L10" s="17" t="s">
        <v>148</v>
      </c>
      <c r="M10" s="17"/>
      <c r="N10" s="16" t="s">
        <v>181</v>
      </c>
      <c r="O10" s="16" t="s">
        <v>182</v>
      </c>
    </row>
    <row r="11" spans="1:15" x14ac:dyDescent="0.2">
      <c r="A11" s="16" t="s">
        <v>183</v>
      </c>
      <c r="B11" s="17" t="s">
        <v>143</v>
      </c>
      <c r="C11" s="17" t="s">
        <v>144</v>
      </c>
      <c r="D11" s="17">
        <v>2</v>
      </c>
      <c r="E11" s="17" t="s">
        <v>79</v>
      </c>
      <c r="F11" s="17"/>
      <c r="G11" s="18" t="s">
        <v>184</v>
      </c>
      <c r="H11" s="17" t="s">
        <v>144</v>
      </c>
      <c r="I11" s="17" t="s">
        <v>155</v>
      </c>
      <c r="J11" s="18" t="s">
        <v>147</v>
      </c>
      <c r="K11" s="17"/>
      <c r="L11" s="17" t="s">
        <v>79</v>
      </c>
      <c r="M11" s="17"/>
      <c r="N11" s="16" t="s">
        <v>185</v>
      </c>
      <c r="O11" s="16" t="s">
        <v>186</v>
      </c>
    </row>
    <row r="12" spans="1:15" x14ac:dyDescent="0.2">
      <c r="A12" s="16" t="s">
        <v>187</v>
      </c>
      <c r="B12" s="17" t="s">
        <v>143</v>
      </c>
      <c r="C12" s="17" t="s">
        <v>144</v>
      </c>
      <c r="D12" s="17">
        <v>5</v>
      </c>
      <c r="E12" s="17" t="s">
        <v>79</v>
      </c>
      <c r="F12" s="17"/>
      <c r="G12" s="18" t="s">
        <v>188</v>
      </c>
      <c r="H12" s="17" t="s">
        <v>144</v>
      </c>
      <c r="I12" s="17" t="s">
        <v>155</v>
      </c>
      <c r="J12" s="18">
        <v>20</v>
      </c>
      <c r="K12" s="17"/>
      <c r="L12" s="17"/>
      <c r="M12" s="17" t="s">
        <v>168</v>
      </c>
      <c r="N12" s="16" t="s">
        <v>189</v>
      </c>
      <c r="O12" s="16" t="s">
        <v>190</v>
      </c>
    </row>
    <row r="13" spans="1:15" x14ac:dyDescent="0.2">
      <c r="A13" s="16" t="s">
        <v>191</v>
      </c>
      <c r="B13" s="17" t="s">
        <v>143</v>
      </c>
      <c r="C13" s="17" t="s">
        <v>144</v>
      </c>
      <c r="D13" s="17">
        <v>5</v>
      </c>
      <c r="E13" s="17" t="s">
        <v>79</v>
      </c>
      <c r="F13" s="17"/>
      <c r="G13" s="18">
        <v>120</v>
      </c>
      <c r="H13" s="17" t="s">
        <v>192</v>
      </c>
      <c r="I13" s="17" t="s">
        <v>155</v>
      </c>
      <c r="J13" s="18">
        <v>3</v>
      </c>
      <c r="K13" s="17"/>
      <c r="L13" s="17"/>
      <c r="M13" s="17" t="s">
        <v>168</v>
      </c>
      <c r="N13" s="16" t="s">
        <v>193</v>
      </c>
      <c r="O13" s="16" t="s">
        <v>194</v>
      </c>
    </row>
    <row r="14" spans="1:15" x14ac:dyDescent="0.2">
      <c r="A14" s="16" t="s">
        <v>195</v>
      </c>
      <c r="B14" s="17" t="s">
        <v>143</v>
      </c>
      <c r="C14" s="17" t="s">
        <v>144</v>
      </c>
      <c r="D14" s="17"/>
      <c r="E14" s="17" t="s">
        <v>196</v>
      </c>
      <c r="F14" s="17"/>
      <c r="G14" s="18" t="s">
        <v>18</v>
      </c>
      <c r="H14" s="17" t="s">
        <v>144</v>
      </c>
      <c r="I14" s="17" t="s">
        <v>155</v>
      </c>
      <c r="J14" s="18"/>
      <c r="K14" s="17"/>
      <c r="L14" s="17" t="s">
        <v>148</v>
      </c>
      <c r="M14" s="17"/>
      <c r="N14" s="16" t="s">
        <v>197</v>
      </c>
      <c r="O14" s="16" t="s">
        <v>148</v>
      </c>
    </row>
    <row r="15" spans="1:15" x14ac:dyDescent="0.2">
      <c r="A15" s="16" t="s">
        <v>198</v>
      </c>
      <c r="B15" s="17" t="s">
        <v>143</v>
      </c>
      <c r="C15" s="17" t="s">
        <v>192</v>
      </c>
      <c r="D15" s="17">
        <v>1</v>
      </c>
      <c r="E15" s="17" t="s">
        <v>79</v>
      </c>
      <c r="F15" s="17"/>
      <c r="G15" s="18" t="s">
        <v>145</v>
      </c>
      <c r="H15" s="17" t="s">
        <v>192</v>
      </c>
      <c r="I15" s="17" t="s">
        <v>155</v>
      </c>
      <c r="J15" s="18" t="s">
        <v>147</v>
      </c>
      <c r="K15" s="17"/>
      <c r="L15" s="17" t="s">
        <v>148</v>
      </c>
      <c r="M15" s="17"/>
      <c r="N15" s="16" t="s">
        <v>199</v>
      </c>
      <c r="O15" s="16" t="s">
        <v>200</v>
      </c>
    </row>
    <row r="16" spans="1:15" x14ac:dyDescent="0.2">
      <c r="A16" s="16" t="s">
        <v>201</v>
      </c>
      <c r="B16" s="17" t="s">
        <v>143</v>
      </c>
      <c r="C16" s="17" t="s">
        <v>192</v>
      </c>
      <c r="D16" s="17">
        <v>2</v>
      </c>
      <c r="E16" s="17" t="s">
        <v>79</v>
      </c>
      <c r="F16" s="17"/>
      <c r="G16" s="18" t="s">
        <v>18</v>
      </c>
      <c r="H16" s="17" t="s">
        <v>192</v>
      </c>
      <c r="I16" s="17" t="s">
        <v>155</v>
      </c>
      <c r="J16" s="18" t="s">
        <v>147</v>
      </c>
      <c r="K16" s="17"/>
      <c r="L16" s="17" t="s">
        <v>79</v>
      </c>
      <c r="M16" s="17"/>
      <c r="N16" s="16" t="s">
        <v>202</v>
      </c>
      <c r="O16" s="16" t="s">
        <v>203</v>
      </c>
    </row>
    <row r="17" spans="1:15" x14ac:dyDescent="0.2">
      <c r="A17" s="16" t="s">
        <v>204</v>
      </c>
      <c r="B17" s="17" t="s">
        <v>143</v>
      </c>
      <c r="C17" s="17" t="s">
        <v>192</v>
      </c>
      <c r="D17" s="17"/>
      <c r="E17" s="17" t="s">
        <v>196</v>
      </c>
      <c r="F17" s="17"/>
      <c r="G17" s="18" t="s">
        <v>176</v>
      </c>
      <c r="H17" s="17"/>
      <c r="I17" s="17" t="s">
        <v>155</v>
      </c>
      <c r="J17" s="17"/>
      <c r="K17" s="17" t="s">
        <v>19</v>
      </c>
      <c r="L17" s="17" t="s">
        <v>148</v>
      </c>
      <c r="M17" s="17"/>
      <c r="N17" s="16" t="s">
        <v>205</v>
      </c>
      <c r="O17" s="16" t="s">
        <v>206</v>
      </c>
    </row>
    <row r="18" spans="1:15" x14ac:dyDescent="0.2">
      <c r="A18" s="16" t="s">
        <v>207</v>
      </c>
      <c r="B18" s="17" t="s">
        <v>208</v>
      </c>
      <c r="C18" s="17"/>
      <c r="D18" s="17">
        <v>1</v>
      </c>
      <c r="E18" s="17" t="s">
        <v>79</v>
      </c>
      <c r="F18" s="17"/>
      <c r="G18" s="17">
        <v>500</v>
      </c>
      <c r="H18" s="17"/>
      <c r="I18" s="17" t="s">
        <v>155</v>
      </c>
      <c r="J18" s="17"/>
      <c r="K18" s="17" t="s">
        <v>209</v>
      </c>
      <c r="L18" s="17"/>
      <c r="M18" s="17"/>
      <c r="N18" s="16" t="s">
        <v>210</v>
      </c>
      <c r="O18" s="16" t="s">
        <v>211</v>
      </c>
    </row>
    <row r="19" spans="1:15" x14ac:dyDescent="0.2">
      <c r="A19" s="16" t="s">
        <v>212</v>
      </c>
      <c r="B19" s="17" t="s">
        <v>208</v>
      </c>
      <c r="C19" s="17"/>
      <c r="D19" s="17">
        <v>1</v>
      </c>
      <c r="E19" s="17" t="s">
        <v>79</v>
      </c>
      <c r="F19" s="17"/>
      <c r="G19" s="17">
        <v>600</v>
      </c>
      <c r="H19" s="17"/>
      <c r="I19" s="17" t="s">
        <v>155</v>
      </c>
      <c r="J19" s="17"/>
      <c r="K19" s="17"/>
      <c r="L19" s="17" t="s">
        <v>213</v>
      </c>
      <c r="M19" s="17"/>
      <c r="N19" s="16" t="s">
        <v>214</v>
      </c>
      <c r="O19" s="16" t="s">
        <v>215</v>
      </c>
    </row>
    <row r="20" spans="1:15" x14ac:dyDescent="0.2">
      <c r="A20" s="16" t="str">
        <f>CONCATENATE(B20,C20,D20,E20,G20,H20,I20,J20,K20,L20,M20)</f>
        <v>Coil Pack1Brisbane500CRefer Drawing</v>
      </c>
      <c r="B20" s="17" t="s">
        <v>208</v>
      </c>
      <c r="C20" s="17"/>
      <c r="D20" s="17">
        <v>1</v>
      </c>
      <c r="E20" s="17" t="s">
        <v>79</v>
      </c>
      <c r="F20" s="17"/>
      <c r="G20" s="17">
        <v>500</v>
      </c>
      <c r="H20" s="17"/>
      <c r="I20" s="17" t="s">
        <v>155</v>
      </c>
      <c r="J20" s="17"/>
      <c r="K20" s="17"/>
      <c r="L20" s="17"/>
      <c r="M20" s="17" t="s">
        <v>168</v>
      </c>
      <c r="N20" s="16" t="s">
        <v>216</v>
      </c>
      <c r="O20" s="16" t="s">
        <v>217</v>
      </c>
    </row>
    <row r="21" spans="1:15" x14ac:dyDescent="0.2">
      <c r="A21" s="16" t="s">
        <v>218</v>
      </c>
      <c r="B21" s="17" t="s">
        <v>208</v>
      </c>
      <c r="C21" s="17"/>
      <c r="D21" s="17">
        <v>2</v>
      </c>
      <c r="E21" s="17" t="s">
        <v>79</v>
      </c>
      <c r="F21" s="17"/>
      <c r="G21" s="17">
        <v>550</v>
      </c>
      <c r="H21" s="17"/>
      <c r="I21" s="17" t="s">
        <v>155</v>
      </c>
      <c r="J21" s="17"/>
      <c r="K21" s="17"/>
      <c r="L21" s="17" t="s">
        <v>148</v>
      </c>
      <c r="M21" s="17" t="s">
        <v>168</v>
      </c>
      <c r="N21" s="16" t="s">
        <v>219</v>
      </c>
      <c r="O21" s="16" t="s">
        <v>220</v>
      </c>
    </row>
    <row r="22" spans="1:15" x14ac:dyDescent="0.2">
      <c r="A22" s="16" t="str">
        <f>CONCATENATE(B22,C22,D22,E22,G22,H22,I22,J22,K22,L22,M22)</f>
        <v>Coil Pack1Brisbane600C</v>
      </c>
      <c r="B22" s="17" t="s">
        <v>208</v>
      </c>
      <c r="C22" s="17"/>
      <c r="D22" s="17">
        <v>1</v>
      </c>
      <c r="E22" s="17" t="s">
        <v>79</v>
      </c>
      <c r="F22" s="17"/>
      <c r="G22" s="18" t="s">
        <v>221</v>
      </c>
      <c r="H22" s="17"/>
      <c r="I22" s="17" t="s">
        <v>155</v>
      </c>
      <c r="J22" s="18"/>
      <c r="K22" s="17"/>
      <c r="L22" s="16"/>
      <c r="M22" s="17"/>
      <c r="N22" s="16" t="s">
        <v>222</v>
      </c>
      <c r="O22" s="16" t="s">
        <v>223</v>
      </c>
    </row>
    <row r="23" spans="1:15" x14ac:dyDescent="0.2">
      <c r="A23" s="16" t="s">
        <v>224</v>
      </c>
      <c r="B23" s="17" t="s">
        <v>208</v>
      </c>
      <c r="C23" s="17"/>
      <c r="D23" s="17"/>
      <c r="E23" s="17" t="s">
        <v>196</v>
      </c>
      <c r="F23" s="17"/>
      <c r="G23" s="17">
        <v>600</v>
      </c>
      <c r="H23" s="17"/>
      <c r="I23" s="17" t="s">
        <v>155</v>
      </c>
      <c r="J23" s="17"/>
      <c r="K23" s="17" t="s">
        <v>209</v>
      </c>
      <c r="L23" s="17"/>
      <c r="M23" s="17"/>
      <c r="N23" s="16" t="s">
        <v>225</v>
      </c>
      <c r="O23" s="16" t="s">
        <v>226</v>
      </c>
    </row>
    <row r="24" spans="1:15" x14ac:dyDescent="0.2">
      <c r="A24" s="16" t="s">
        <v>227</v>
      </c>
      <c r="B24" s="17" t="s">
        <v>208</v>
      </c>
      <c r="C24" s="17"/>
      <c r="D24" s="17"/>
      <c r="E24" s="17" t="s">
        <v>196</v>
      </c>
      <c r="F24" s="17"/>
      <c r="G24" s="17">
        <v>700</v>
      </c>
      <c r="H24" s="17"/>
      <c r="I24" s="17" t="s">
        <v>155</v>
      </c>
      <c r="J24" s="17"/>
      <c r="K24" s="17" t="s">
        <v>19</v>
      </c>
      <c r="L24" s="17" t="s">
        <v>148</v>
      </c>
      <c r="M24" s="17"/>
      <c r="N24" s="16" t="s">
        <v>228</v>
      </c>
      <c r="O24" s="16" t="s">
        <v>229</v>
      </c>
    </row>
    <row r="25" spans="1:15" x14ac:dyDescent="0.2">
      <c r="A25" s="16" t="s">
        <v>230</v>
      </c>
      <c r="B25" s="17" t="s">
        <v>208</v>
      </c>
      <c r="C25" s="17"/>
      <c r="D25" s="17"/>
      <c r="E25" s="17" t="s">
        <v>196</v>
      </c>
      <c r="F25" s="17">
        <v>178</v>
      </c>
      <c r="G25" s="17">
        <v>600</v>
      </c>
      <c r="H25" s="17"/>
      <c r="I25" s="17" t="s">
        <v>155</v>
      </c>
      <c r="J25" s="17"/>
      <c r="K25" s="17"/>
      <c r="L25" s="17" t="s">
        <v>148</v>
      </c>
      <c r="M25" s="17"/>
      <c r="N25" s="16"/>
      <c r="O25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workbookViewId="0">
      <selection activeCell="B15" sqref="B15"/>
    </sheetView>
  </sheetViews>
  <sheetFormatPr baseColWidth="10" defaultRowHeight="16" x14ac:dyDescent="0.2"/>
  <cols>
    <col min="1" max="1" width="16" bestFit="1" customWidth="1"/>
    <col min="2" max="2" width="20" bestFit="1" customWidth="1"/>
    <col min="3" max="3" width="25" bestFit="1" customWidth="1"/>
    <col min="6" max="6" width="14" bestFit="1" customWidth="1"/>
    <col min="7" max="7" width="20.33203125" bestFit="1" customWidth="1"/>
    <col min="10" max="10" width="33" bestFit="1" customWidth="1"/>
    <col min="11" max="11" width="32.33203125" bestFit="1" customWidth="1"/>
  </cols>
  <sheetData>
    <row r="1" spans="1:11" ht="17" customHeight="1" thickBot="1" x14ac:dyDescent="0.25">
      <c r="A1" s="13" t="s">
        <v>231</v>
      </c>
      <c r="B1" s="14" t="s">
        <v>232</v>
      </c>
      <c r="C1" s="14" t="s">
        <v>233</v>
      </c>
      <c r="D1" s="14" t="s">
        <v>234</v>
      </c>
      <c r="E1" s="14" t="s">
        <v>3</v>
      </c>
      <c r="F1" s="14" t="s">
        <v>235</v>
      </c>
      <c r="G1" s="14" t="s">
        <v>236</v>
      </c>
      <c r="H1" s="14" t="s">
        <v>6</v>
      </c>
      <c r="I1" s="14" t="s">
        <v>237</v>
      </c>
      <c r="J1" s="14" t="s">
        <v>8</v>
      </c>
      <c r="K1" s="15" t="s">
        <v>9</v>
      </c>
    </row>
    <row r="2" spans="1:11" x14ac:dyDescent="0.2">
      <c r="A2" s="4" t="s">
        <v>238</v>
      </c>
      <c r="B2" s="2" t="s">
        <v>239</v>
      </c>
      <c r="C2" s="2" t="s">
        <v>240</v>
      </c>
      <c r="D2" s="2" t="s">
        <v>241</v>
      </c>
      <c r="E2" s="1">
        <v>120</v>
      </c>
      <c r="F2" s="2" t="s">
        <v>242</v>
      </c>
      <c r="G2" s="2" t="s">
        <v>243</v>
      </c>
      <c r="H2" s="2"/>
      <c r="I2" s="2"/>
      <c r="J2" s="4" t="s">
        <v>244</v>
      </c>
      <c r="K2" s="4" t="s">
        <v>245</v>
      </c>
    </row>
    <row r="3" spans="1:11" x14ac:dyDescent="0.2">
      <c r="A3" s="4" t="s">
        <v>246</v>
      </c>
      <c r="B3" s="2" t="s">
        <v>239</v>
      </c>
      <c r="C3" s="2" t="s">
        <v>247</v>
      </c>
      <c r="D3" s="2" t="s">
        <v>248</v>
      </c>
      <c r="E3" s="1">
        <v>120</v>
      </c>
      <c r="F3" s="2" t="s">
        <v>249</v>
      </c>
      <c r="G3" s="2" t="s">
        <v>243</v>
      </c>
      <c r="H3" s="2"/>
      <c r="I3" s="2"/>
      <c r="J3" s="4" t="s">
        <v>250</v>
      </c>
      <c r="K3" s="4" t="s">
        <v>251</v>
      </c>
    </row>
    <row r="4" spans="1:11" x14ac:dyDescent="0.2">
      <c r="A4" s="4" t="s">
        <v>252</v>
      </c>
      <c r="B4" s="2" t="s">
        <v>239</v>
      </c>
      <c r="C4" s="2" t="s">
        <v>247</v>
      </c>
      <c r="D4" s="2" t="s">
        <v>248</v>
      </c>
      <c r="E4" s="1">
        <v>120</v>
      </c>
      <c r="F4" s="2" t="s">
        <v>253</v>
      </c>
      <c r="G4" s="2" t="s">
        <v>243</v>
      </c>
      <c r="H4" s="2"/>
      <c r="I4" s="2"/>
      <c r="J4" s="4" t="s">
        <v>254</v>
      </c>
      <c r="K4" s="4" t="s">
        <v>255</v>
      </c>
    </row>
    <row r="5" spans="1:11" x14ac:dyDescent="0.2">
      <c r="A5" s="4" t="s">
        <v>256</v>
      </c>
      <c r="B5" s="2" t="s">
        <v>239</v>
      </c>
      <c r="C5" s="2" t="s">
        <v>247</v>
      </c>
      <c r="D5" s="2" t="s">
        <v>257</v>
      </c>
      <c r="E5" s="1">
        <v>150</v>
      </c>
      <c r="F5" s="2" t="s">
        <v>258</v>
      </c>
      <c r="G5" s="2" t="s">
        <v>243</v>
      </c>
      <c r="H5" s="1"/>
      <c r="I5" s="2"/>
      <c r="J5" s="4" t="s">
        <v>259</v>
      </c>
      <c r="K5" s="4" t="s">
        <v>260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8"/>
  <sheetViews>
    <sheetView workbookViewId="0">
      <selection activeCell="J22" sqref="J22"/>
    </sheetView>
  </sheetViews>
  <sheetFormatPr baseColWidth="10" defaultRowHeight="16" x14ac:dyDescent="0.2"/>
  <cols>
    <col min="1" max="1" width="18.1640625" bestFit="1" customWidth="1"/>
    <col min="2" max="2" width="14" bestFit="1" customWidth="1"/>
    <col min="4" max="4" width="13.6640625" bestFit="1" customWidth="1"/>
    <col min="5" max="5" width="18.33203125" bestFit="1" customWidth="1"/>
    <col min="6" max="6" width="12.83203125" bestFit="1" customWidth="1"/>
    <col min="10" max="10" width="37.33203125" bestFit="1" customWidth="1"/>
    <col min="11" max="11" width="39" bestFit="1" customWidth="1"/>
  </cols>
  <sheetData>
    <row r="1" spans="1:11" ht="17" customHeight="1" thickBot="1" x14ac:dyDescent="0.25">
      <c r="A1" s="13" t="s">
        <v>0</v>
      </c>
      <c r="B1" s="14" t="s">
        <v>261</v>
      </c>
      <c r="C1" s="14" t="s">
        <v>262</v>
      </c>
      <c r="D1" s="14" t="s">
        <v>263</v>
      </c>
      <c r="E1" s="14" t="s">
        <v>264</v>
      </c>
      <c r="F1" s="14" t="s">
        <v>265</v>
      </c>
      <c r="G1" s="14" t="s">
        <v>266</v>
      </c>
      <c r="H1" s="14" t="s">
        <v>6</v>
      </c>
      <c r="I1" s="14" t="s">
        <v>237</v>
      </c>
      <c r="J1" s="14" t="s">
        <v>8</v>
      </c>
      <c r="K1" s="15" t="s">
        <v>9</v>
      </c>
    </row>
    <row r="2" spans="1:11" x14ac:dyDescent="0.2">
      <c r="A2" t="s">
        <v>267</v>
      </c>
      <c r="B2" s="1" t="s">
        <v>268</v>
      </c>
      <c r="C2" s="1">
        <v>1010</v>
      </c>
      <c r="D2" s="1">
        <v>1</v>
      </c>
      <c r="E2" s="1">
        <v>36</v>
      </c>
      <c r="F2" s="1"/>
      <c r="G2" s="1"/>
      <c r="H2" s="1"/>
      <c r="I2" s="1"/>
      <c r="J2" t="s">
        <v>269</v>
      </c>
      <c r="K2" t="s">
        <v>270</v>
      </c>
    </row>
    <row r="3" spans="1:11" x14ac:dyDescent="0.2">
      <c r="A3" t="s">
        <v>271</v>
      </c>
      <c r="B3" s="1" t="s">
        <v>268</v>
      </c>
      <c r="C3" s="1">
        <v>1010</v>
      </c>
      <c r="D3" s="1">
        <v>1</v>
      </c>
      <c r="E3" s="1">
        <v>36</v>
      </c>
      <c r="F3" s="1"/>
      <c r="G3" s="1" t="s">
        <v>19</v>
      </c>
      <c r="H3" s="1"/>
      <c r="I3" s="1"/>
      <c r="J3" t="s">
        <v>272</v>
      </c>
      <c r="K3" t="s">
        <v>270</v>
      </c>
    </row>
    <row r="4" spans="1:11" x14ac:dyDescent="0.2">
      <c r="A4" t="s">
        <v>273</v>
      </c>
      <c r="B4" s="1" t="s">
        <v>268</v>
      </c>
      <c r="C4" s="1">
        <v>1010</v>
      </c>
      <c r="D4" s="1">
        <v>1</v>
      </c>
      <c r="E4" s="1">
        <v>36</v>
      </c>
      <c r="F4" s="1"/>
      <c r="G4" s="1"/>
      <c r="H4" s="1"/>
      <c r="I4" s="2" t="s">
        <v>79</v>
      </c>
      <c r="J4" t="s">
        <v>274</v>
      </c>
      <c r="K4" t="s">
        <v>275</v>
      </c>
    </row>
    <row r="5" spans="1:11" x14ac:dyDescent="0.2">
      <c r="A5" t="s">
        <v>276</v>
      </c>
      <c r="B5" s="1" t="s">
        <v>268</v>
      </c>
      <c r="C5" s="1">
        <v>1010</v>
      </c>
      <c r="D5" s="1">
        <v>1</v>
      </c>
      <c r="E5" s="1">
        <v>35</v>
      </c>
      <c r="F5" s="1"/>
      <c r="G5" s="1" t="s">
        <v>19</v>
      </c>
      <c r="H5" s="2" t="s">
        <v>277</v>
      </c>
      <c r="I5" s="1"/>
      <c r="J5" t="s">
        <v>274</v>
      </c>
      <c r="K5" t="s">
        <v>278</v>
      </c>
    </row>
    <row r="6" spans="1:11" x14ac:dyDescent="0.2">
      <c r="A6" t="s">
        <v>279</v>
      </c>
      <c r="B6" s="1" t="s">
        <v>268</v>
      </c>
      <c r="C6" s="1">
        <v>1212</v>
      </c>
      <c r="D6" s="1">
        <v>4</v>
      </c>
      <c r="E6" s="1">
        <v>35</v>
      </c>
      <c r="F6" s="1"/>
      <c r="G6" s="1" t="s">
        <v>19</v>
      </c>
      <c r="H6" s="1"/>
      <c r="I6" s="1" t="s">
        <v>280</v>
      </c>
      <c r="J6" t="s">
        <v>281</v>
      </c>
      <c r="K6" s="4" t="s">
        <v>282</v>
      </c>
    </row>
    <row r="7" spans="1:11" x14ac:dyDescent="0.2">
      <c r="A7" t="s">
        <v>283</v>
      </c>
      <c r="B7" s="1" t="s">
        <v>268</v>
      </c>
      <c r="C7" s="1">
        <v>1515</v>
      </c>
      <c r="D7" s="1">
        <v>2</v>
      </c>
      <c r="E7" s="1">
        <v>30</v>
      </c>
      <c r="F7" s="1"/>
      <c r="G7" s="1" t="s">
        <v>19</v>
      </c>
      <c r="H7" s="1"/>
      <c r="I7" s="1" t="s">
        <v>280</v>
      </c>
      <c r="J7" t="s">
        <v>284</v>
      </c>
      <c r="K7" t="s">
        <v>280</v>
      </c>
    </row>
    <row r="8" spans="1:11" x14ac:dyDescent="0.2">
      <c r="A8" t="s">
        <v>285</v>
      </c>
      <c r="B8" s="1" t="s">
        <v>268</v>
      </c>
      <c r="C8" s="1">
        <v>1515</v>
      </c>
      <c r="D8" s="1">
        <v>3</v>
      </c>
      <c r="E8" s="1">
        <v>40</v>
      </c>
      <c r="F8" s="1"/>
      <c r="G8" s="1" t="s">
        <v>286</v>
      </c>
      <c r="H8" s="1"/>
      <c r="I8" s="1"/>
      <c r="J8" t="s">
        <v>287</v>
      </c>
      <c r="K8" t="s">
        <v>288</v>
      </c>
    </row>
    <row r="9" spans="1:11" x14ac:dyDescent="0.2">
      <c r="A9" t="s">
        <v>289</v>
      </c>
      <c r="B9" s="1" t="s">
        <v>268</v>
      </c>
      <c r="C9" s="1">
        <v>1515</v>
      </c>
      <c r="D9" s="1">
        <v>3</v>
      </c>
      <c r="E9" s="1">
        <v>40</v>
      </c>
      <c r="F9" s="1" t="s">
        <v>290</v>
      </c>
      <c r="G9" s="1"/>
      <c r="H9" s="1"/>
      <c r="I9" s="1"/>
      <c r="J9" t="s">
        <v>291</v>
      </c>
      <c r="K9" t="s">
        <v>292</v>
      </c>
    </row>
    <row r="10" spans="1:11" x14ac:dyDescent="0.2">
      <c r="A10" t="s">
        <v>293</v>
      </c>
      <c r="B10" s="1" t="s">
        <v>268</v>
      </c>
      <c r="C10" s="1">
        <v>1515</v>
      </c>
      <c r="D10" s="1">
        <v>3</v>
      </c>
      <c r="E10" s="1">
        <v>50</v>
      </c>
      <c r="F10" s="1"/>
      <c r="G10" s="2" t="s">
        <v>294</v>
      </c>
      <c r="H10" s="1"/>
      <c r="I10" s="1"/>
      <c r="J10" t="s">
        <v>295</v>
      </c>
      <c r="K10" t="s">
        <v>296</v>
      </c>
    </row>
    <row r="11" spans="1:11" x14ac:dyDescent="0.2">
      <c r="A11" s="4" t="s">
        <v>297</v>
      </c>
      <c r="B11" s="2" t="s">
        <v>268</v>
      </c>
      <c r="C11" s="1">
        <v>1515</v>
      </c>
      <c r="D11" s="1">
        <v>5</v>
      </c>
      <c r="E11" s="1">
        <v>49</v>
      </c>
      <c r="F11" s="2" t="s">
        <v>298</v>
      </c>
      <c r="G11" s="2" t="s">
        <v>294</v>
      </c>
      <c r="H11" s="1"/>
      <c r="I11" s="2" t="s">
        <v>79</v>
      </c>
      <c r="J11" s="4" t="s">
        <v>299</v>
      </c>
      <c r="K11" t="s">
        <v>300</v>
      </c>
    </row>
    <row r="12" spans="1:11" x14ac:dyDescent="0.2">
      <c r="A12" t="s">
        <v>301</v>
      </c>
      <c r="B12" s="2" t="s">
        <v>268</v>
      </c>
      <c r="C12" s="2" t="s">
        <v>302</v>
      </c>
      <c r="D12" s="1"/>
      <c r="E12" s="1"/>
      <c r="F12" s="2" t="s">
        <v>303</v>
      </c>
      <c r="G12" s="1"/>
      <c r="H12" s="1"/>
      <c r="I12" s="1"/>
      <c r="J12" t="s">
        <v>304</v>
      </c>
      <c r="K12" t="s">
        <v>305</v>
      </c>
    </row>
    <row r="13" spans="1:11" x14ac:dyDescent="0.2">
      <c r="A13" t="s">
        <v>306</v>
      </c>
      <c r="B13" s="1" t="s">
        <v>307</v>
      </c>
      <c r="C13" s="1">
        <v>1515</v>
      </c>
      <c r="D13" s="1">
        <v>1</v>
      </c>
      <c r="E13" s="1"/>
      <c r="F13" s="1" t="s">
        <v>308</v>
      </c>
      <c r="G13" s="1"/>
      <c r="H13" s="1"/>
      <c r="I13" s="1"/>
      <c r="J13" t="s">
        <v>309</v>
      </c>
      <c r="K13" t="s">
        <v>310</v>
      </c>
    </row>
    <row r="14" spans="1:11" x14ac:dyDescent="0.2">
      <c r="A14" t="s">
        <v>311</v>
      </c>
      <c r="B14" s="1" t="s">
        <v>307</v>
      </c>
      <c r="C14" s="1">
        <v>1515</v>
      </c>
      <c r="D14" s="1">
        <v>3</v>
      </c>
      <c r="E14" s="1"/>
      <c r="F14" s="1" t="s">
        <v>312</v>
      </c>
      <c r="G14" s="1"/>
      <c r="H14" s="1"/>
      <c r="I14" s="1" t="s">
        <v>280</v>
      </c>
      <c r="J14" t="s">
        <v>313</v>
      </c>
      <c r="K14" t="s">
        <v>314</v>
      </c>
    </row>
    <row r="15" spans="1:11" x14ac:dyDescent="0.2">
      <c r="A15" t="s">
        <v>315</v>
      </c>
      <c r="B15" s="1" t="s">
        <v>307</v>
      </c>
      <c r="C15" s="1">
        <v>1515</v>
      </c>
      <c r="D15" s="1">
        <v>3</v>
      </c>
      <c r="E15" s="1"/>
      <c r="F15" s="1" t="s">
        <v>316</v>
      </c>
      <c r="G15" s="1" t="s">
        <v>19</v>
      </c>
      <c r="H15" s="1"/>
      <c r="I15" s="1" t="s">
        <v>280</v>
      </c>
      <c r="J15" t="s">
        <v>317</v>
      </c>
      <c r="K15" t="s">
        <v>318</v>
      </c>
    </row>
    <row r="16" spans="1:11" x14ac:dyDescent="0.2">
      <c r="A16" t="s">
        <v>319</v>
      </c>
      <c r="B16" s="1" t="s">
        <v>307</v>
      </c>
      <c r="C16" s="1">
        <v>3030</v>
      </c>
      <c r="D16" s="1">
        <v>2</v>
      </c>
      <c r="E16" s="1"/>
      <c r="F16" s="1" t="s">
        <v>316</v>
      </c>
      <c r="G16" s="1" t="s">
        <v>19</v>
      </c>
      <c r="H16" s="1"/>
      <c r="I16" s="1" t="s">
        <v>280</v>
      </c>
      <c r="J16" t="s">
        <v>320</v>
      </c>
      <c r="K16" t="s">
        <v>321</v>
      </c>
    </row>
    <row r="17" spans="1:11" x14ac:dyDescent="0.2">
      <c r="A17" t="s">
        <v>322</v>
      </c>
      <c r="B17" s="1" t="s">
        <v>323</v>
      </c>
      <c r="C17" s="1">
        <v>1010</v>
      </c>
      <c r="D17" s="1">
        <v>1</v>
      </c>
      <c r="E17" s="1">
        <v>22</v>
      </c>
      <c r="F17" s="1"/>
      <c r="G17" s="1" t="s">
        <v>19</v>
      </c>
      <c r="H17" s="1"/>
      <c r="I17" s="1"/>
      <c r="J17" t="s">
        <v>324</v>
      </c>
    </row>
    <row r="18" spans="1:11" x14ac:dyDescent="0.2">
      <c r="A18" t="s">
        <v>325</v>
      </c>
      <c r="B18" s="1" t="s">
        <v>323</v>
      </c>
      <c r="C18" s="1">
        <v>1515</v>
      </c>
      <c r="D18" s="1">
        <v>2</v>
      </c>
      <c r="E18" s="1">
        <v>26</v>
      </c>
      <c r="F18" s="1"/>
      <c r="G18" s="1"/>
      <c r="H18" s="1"/>
      <c r="I18" s="1"/>
      <c r="J18" t="s">
        <v>326</v>
      </c>
    </row>
    <row r="19" spans="1:11" x14ac:dyDescent="0.2">
      <c r="A19" t="s">
        <v>327</v>
      </c>
      <c r="B19" s="1" t="s">
        <v>323</v>
      </c>
      <c r="C19" s="1">
        <v>2020</v>
      </c>
      <c r="D19" s="1">
        <v>16</v>
      </c>
      <c r="E19" s="1">
        <v>30</v>
      </c>
      <c r="F19" s="1"/>
      <c r="G19" s="1" t="s">
        <v>19</v>
      </c>
      <c r="H19" s="1"/>
      <c r="I19" s="1" t="s">
        <v>280</v>
      </c>
      <c r="J19" t="s">
        <v>328</v>
      </c>
      <c r="K19" t="s">
        <v>329</v>
      </c>
    </row>
    <row r="20" spans="1:11" x14ac:dyDescent="0.2">
      <c r="A20" t="s">
        <v>330</v>
      </c>
      <c r="B20" s="1" t="s">
        <v>323</v>
      </c>
      <c r="C20" s="1">
        <v>2020</v>
      </c>
      <c r="D20" s="1">
        <v>3</v>
      </c>
      <c r="E20" s="1">
        <v>50</v>
      </c>
      <c r="F20" s="1"/>
      <c r="G20" s="1"/>
      <c r="H20" s="1"/>
      <c r="I20" s="1"/>
      <c r="J20" t="s">
        <v>331</v>
      </c>
      <c r="K20" t="s">
        <v>332</v>
      </c>
    </row>
    <row r="21" spans="1:11" x14ac:dyDescent="0.2">
      <c r="A21" t="s">
        <v>333</v>
      </c>
      <c r="B21" s="1" t="s">
        <v>334</v>
      </c>
      <c r="C21" s="1">
        <v>150</v>
      </c>
      <c r="D21" s="1">
        <v>5</v>
      </c>
      <c r="E21" s="1">
        <v>39</v>
      </c>
      <c r="F21" s="1"/>
      <c r="J21" t="s">
        <v>335</v>
      </c>
    </row>
    <row r="22" spans="1:11" x14ac:dyDescent="0.2">
      <c r="A22" t="s">
        <v>336</v>
      </c>
      <c r="B22" s="1" t="s">
        <v>334</v>
      </c>
      <c r="C22" s="1">
        <v>150</v>
      </c>
      <c r="D22" s="1">
        <v>5</v>
      </c>
      <c r="E22" s="1">
        <v>39</v>
      </c>
      <c r="F22" s="1"/>
      <c r="G22" s="1" t="s">
        <v>19</v>
      </c>
      <c r="H22" s="1"/>
      <c r="I22" s="1" t="s">
        <v>280</v>
      </c>
      <c r="J22" t="s">
        <v>337</v>
      </c>
    </row>
    <row r="23" spans="1:11" x14ac:dyDescent="0.2">
      <c r="A23" t="s">
        <v>338</v>
      </c>
      <c r="B23" s="1" t="s">
        <v>334</v>
      </c>
      <c r="C23" s="1">
        <v>150</v>
      </c>
      <c r="D23" s="1">
        <v>5</v>
      </c>
      <c r="E23" s="1">
        <v>39</v>
      </c>
      <c r="F23" s="1"/>
      <c r="G23" s="1"/>
      <c r="H23" s="1" t="s">
        <v>339</v>
      </c>
      <c r="I23" s="1"/>
      <c r="J23" t="s">
        <v>340</v>
      </c>
      <c r="K23" t="s">
        <v>341</v>
      </c>
    </row>
    <row r="24" spans="1:11" x14ac:dyDescent="0.2">
      <c r="A24" t="s">
        <v>342</v>
      </c>
      <c r="B24" s="1" t="s">
        <v>343</v>
      </c>
      <c r="C24" s="1">
        <v>200</v>
      </c>
      <c r="D24" s="1">
        <v>5</v>
      </c>
      <c r="E24" s="1">
        <v>38</v>
      </c>
      <c r="F24" s="1" t="s">
        <v>344</v>
      </c>
      <c r="G24" s="1"/>
      <c r="H24" s="1" t="s">
        <v>345</v>
      </c>
      <c r="I24" s="1"/>
      <c r="J24" t="s">
        <v>346</v>
      </c>
      <c r="K24" t="s">
        <v>347</v>
      </c>
    </row>
    <row r="25" spans="1:11" x14ac:dyDescent="0.2">
      <c r="A25" t="s">
        <v>348</v>
      </c>
      <c r="B25" s="1" t="s">
        <v>349</v>
      </c>
      <c r="C25" s="1">
        <v>1515</v>
      </c>
      <c r="D25" s="1">
        <v>4</v>
      </c>
      <c r="E25" s="1">
        <v>49</v>
      </c>
      <c r="F25" s="1"/>
      <c r="G25" s="1" t="s">
        <v>19</v>
      </c>
      <c r="H25" s="1"/>
      <c r="I25" s="1" t="s">
        <v>280</v>
      </c>
      <c r="J25" t="s">
        <v>350</v>
      </c>
      <c r="K25" t="s">
        <v>351</v>
      </c>
    </row>
    <row r="26" spans="1:11" x14ac:dyDescent="0.2">
      <c r="A26" t="s">
        <v>352</v>
      </c>
      <c r="B26" s="1" t="s">
        <v>349</v>
      </c>
      <c r="C26" s="1">
        <v>2020</v>
      </c>
      <c r="D26" s="1">
        <v>4</v>
      </c>
      <c r="E26" s="1">
        <v>49</v>
      </c>
      <c r="F26" s="1"/>
      <c r="G26" s="1" t="s">
        <v>19</v>
      </c>
      <c r="H26" s="1"/>
      <c r="J26" t="s">
        <v>353</v>
      </c>
      <c r="K26" t="s">
        <v>354</v>
      </c>
    </row>
    <row r="27" spans="1:11" x14ac:dyDescent="0.2">
      <c r="A27" t="s">
        <v>355</v>
      </c>
      <c r="B27" s="2" t="s">
        <v>356</v>
      </c>
      <c r="C27" s="1">
        <v>200</v>
      </c>
      <c r="D27" s="1">
        <v>6</v>
      </c>
      <c r="E27" s="1">
        <v>39</v>
      </c>
      <c r="F27" s="2" t="s">
        <v>290</v>
      </c>
      <c r="G27" s="1"/>
      <c r="H27" s="2" t="s">
        <v>345</v>
      </c>
      <c r="I27" s="1"/>
      <c r="J27" t="s">
        <v>357</v>
      </c>
      <c r="K27" t="s">
        <v>347</v>
      </c>
    </row>
    <row r="28" spans="1:11" x14ac:dyDescent="0.2">
      <c r="A28" t="s">
        <v>358</v>
      </c>
      <c r="B28" s="2" t="s">
        <v>359</v>
      </c>
      <c r="C28" s="1">
        <v>150</v>
      </c>
      <c r="D28" s="1">
        <v>6</v>
      </c>
      <c r="E28" s="1">
        <v>49</v>
      </c>
      <c r="F28" s="1"/>
      <c r="G28" s="1"/>
      <c r="H28" s="1"/>
      <c r="I28" s="1"/>
      <c r="J28" t="s">
        <v>360</v>
      </c>
      <c r="K28" t="s">
        <v>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"/>
  <sheetViews>
    <sheetView workbookViewId="0">
      <selection activeCell="I32" sqref="I32"/>
    </sheetView>
  </sheetViews>
  <sheetFormatPr baseColWidth="10" defaultRowHeight="16" x14ac:dyDescent="0.2"/>
  <cols>
    <col min="1" max="1" width="18.33203125" bestFit="1" customWidth="1"/>
    <col min="3" max="3" width="18.33203125" bestFit="1" customWidth="1"/>
    <col min="4" max="4" width="14" bestFit="1" customWidth="1"/>
    <col min="11" max="11" width="14.6640625" bestFit="1" customWidth="1"/>
    <col min="12" max="12" width="8.33203125" bestFit="1" customWidth="1"/>
    <col min="13" max="13" width="30.5" bestFit="1" customWidth="1"/>
    <col min="14" max="14" width="33.1640625" bestFit="1" customWidth="1"/>
  </cols>
  <sheetData>
    <row r="1" spans="1:14" ht="29" customHeight="1" x14ac:dyDescent="0.2">
      <c r="A1" s="25" t="s">
        <v>362</v>
      </c>
      <c r="B1" s="26" t="s">
        <v>363</v>
      </c>
      <c r="C1" s="26" t="s">
        <v>364</v>
      </c>
      <c r="D1" s="26" t="s">
        <v>365</v>
      </c>
      <c r="E1" s="26" t="s">
        <v>366</v>
      </c>
      <c r="F1" s="26" t="s">
        <v>367</v>
      </c>
      <c r="G1" s="26" t="s">
        <v>368</v>
      </c>
      <c r="H1" s="26" t="s">
        <v>369</v>
      </c>
      <c r="I1" s="26" t="s">
        <v>370</v>
      </c>
      <c r="J1" s="26" t="s">
        <v>371</v>
      </c>
      <c r="K1" s="26" t="s">
        <v>372</v>
      </c>
      <c r="L1" s="27" t="s">
        <v>373</v>
      </c>
      <c r="M1" s="28"/>
      <c r="N1" s="29"/>
    </row>
    <row r="2" spans="1:14" x14ac:dyDescent="0.2">
      <c r="A2" s="30" t="s">
        <v>374</v>
      </c>
      <c r="B2" s="31" t="s">
        <v>375</v>
      </c>
      <c r="C2" s="31" t="s">
        <v>362</v>
      </c>
      <c r="D2" s="31" t="s">
        <v>376</v>
      </c>
      <c r="E2" s="32">
        <v>50</v>
      </c>
      <c r="F2" s="33">
        <v>2.5</v>
      </c>
      <c r="G2" s="33"/>
      <c r="H2" s="32"/>
      <c r="I2" s="31" t="s">
        <v>192</v>
      </c>
      <c r="J2" s="31" t="s">
        <v>155</v>
      </c>
      <c r="K2" s="31" t="s">
        <v>377</v>
      </c>
      <c r="L2" s="32"/>
      <c r="M2" t="s">
        <v>378</v>
      </c>
      <c r="N2" s="34" t="s">
        <v>379</v>
      </c>
    </row>
    <row r="3" spans="1:14" x14ac:dyDescent="0.2">
      <c r="A3" s="30" t="s">
        <v>380</v>
      </c>
      <c r="B3" s="31" t="s">
        <v>381</v>
      </c>
      <c r="C3" s="31" t="s">
        <v>362</v>
      </c>
      <c r="D3" s="31">
        <v>300</v>
      </c>
      <c r="E3" s="32">
        <v>50</v>
      </c>
      <c r="F3" s="33"/>
      <c r="G3" s="35" t="s">
        <v>382</v>
      </c>
      <c r="H3" s="31" t="s">
        <v>383</v>
      </c>
      <c r="I3" s="32"/>
      <c r="J3" s="32"/>
      <c r="K3" s="31"/>
      <c r="L3" s="32" t="s">
        <v>384</v>
      </c>
      <c r="M3" t="s">
        <v>385</v>
      </c>
      <c r="N3" s="36" t="s">
        <v>386</v>
      </c>
    </row>
    <row r="4" spans="1:14" x14ac:dyDescent="0.2">
      <c r="A4" s="30" t="s">
        <v>387</v>
      </c>
      <c r="B4" s="31" t="s">
        <v>381</v>
      </c>
      <c r="C4" s="31" t="s">
        <v>362</v>
      </c>
      <c r="D4" s="31">
        <v>300</v>
      </c>
      <c r="E4" s="32">
        <v>50</v>
      </c>
      <c r="F4" s="33"/>
      <c r="G4" s="33"/>
      <c r="H4" s="31" t="s">
        <v>383</v>
      </c>
      <c r="I4" s="31" t="s">
        <v>192</v>
      </c>
      <c r="J4" s="31" t="s">
        <v>155</v>
      </c>
      <c r="K4" s="32"/>
      <c r="L4" s="32"/>
      <c r="M4" t="s">
        <v>388</v>
      </c>
      <c r="N4" s="36"/>
    </row>
    <row r="5" spans="1:14" x14ac:dyDescent="0.2">
      <c r="A5" s="30" t="s">
        <v>389</v>
      </c>
      <c r="B5" s="31" t="s">
        <v>381</v>
      </c>
      <c r="C5" s="31" t="s">
        <v>362</v>
      </c>
      <c r="D5" s="31">
        <v>300</v>
      </c>
      <c r="E5" s="32">
        <v>50</v>
      </c>
      <c r="F5" s="33"/>
      <c r="G5" s="33"/>
      <c r="H5" s="31" t="s">
        <v>383</v>
      </c>
      <c r="I5" s="31" t="s">
        <v>192</v>
      </c>
      <c r="J5" s="31" t="s">
        <v>155</v>
      </c>
      <c r="K5" s="31" t="s">
        <v>390</v>
      </c>
      <c r="L5" s="32"/>
      <c r="M5" t="s">
        <v>388</v>
      </c>
      <c r="N5" s="36" t="s">
        <v>391</v>
      </c>
    </row>
    <row r="6" spans="1:14" x14ac:dyDescent="0.2">
      <c r="A6" s="30" t="s">
        <v>392</v>
      </c>
      <c r="B6" s="31" t="s">
        <v>381</v>
      </c>
      <c r="C6" s="31" t="s">
        <v>362</v>
      </c>
      <c r="D6" s="31">
        <v>300</v>
      </c>
      <c r="E6" s="32">
        <v>50</v>
      </c>
      <c r="F6" s="33"/>
      <c r="G6" s="33"/>
      <c r="H6" s="32"/>
      <c r="I6" s="31" t="s">
        <v>192</v>
      </c>
      <c r="J6" s="32"/>
      <c r="K6" s="32"/>
      <c r="L6" s="32"/>
      <c r="M6" t="s">
        <v>393</v>
      </c>
      <c r="N6" s="36" t="s">
        <v>394</v>
      </c>
    </row>
    <row r="7" spans="1:14" x14ac:dyDescent="0.2">
      <c r="A7" s="30" t="s">
        <v>395</v>
      </c>
      <c r="B7" s="31" t="s">
        <v>381</v>
      </c>
      <c r="C7" s="31" t="s">
        <v>362</v>
      </c>
      <c r="D7" s="31">
        <v>300</v>
      </c>
      <c r="E7" s="32">
        <v>50</v>
      </c>
      <c r="F7" s="33"/>
      <c r="G7" s="33"/>
      <c r="H7" s="32"/>
      <c r="I7" s="31" t="s">
        <v>192</v>
      </c>
      <c r="J7" s="31" t="s">
        <v>155</v>
      </c>
      <c r="K7" s="32"/>
      <c r="L7" s="32"/>
      <c r="M7" t="s">
        <v>396</v>
      </c>
      <c r="N7" s="36" t="s">
        <v>397</v>
      </c>
    </row>
    <row r="8" spans="1:14" x14ac:dyDescent="0.2">
      <c r="A8" s="30" t="s">
        <v>398</v>
      </c>
      <c r="B8" s="31" t="s">
        <v>381</v>
      </c>
      <c r="C8" s="31" t="s">
        <v>362</v>
      </c>
      <c r="D8" s="31">
        <v>300</v>
      </c>
      <c r="E8" s="32">
        <v>50</v>
      </c>
      <c r="F8" s="33"/>
      <c r="G8" s="33"/>
      <c r="H8" s="32"/>
      <c r="I8" s="31" t="s">
        <v>192</v>
      </c>
      <c r="J8" s="31" t="s">
        <v>155</v>
      </c>
      <c r="K8" s="32"/>
      <c r="L8" s="31" t="s">
        <v>399</v>
      </c>
      <c r="M8" t="s">
        <v>396</v>
      </c>
      <c r="N8" s="36" t="s">
        <v>400</v>
      </c>
    </row>
    <row r="9" spans="1:14" x14ac:dyDescent="0.2">
      <c r="A9" s="30" t="s">
        <v>401</v>
      </c>
      <c r="B9" s="31" t="s">
        <v>381</v>
      </c>
      <c r="C9" s="31" t="s">
        <v>362</v>
      </c>
      <c r="D9" s="31">
        <v>300</v>
      </c>
      <c r="E9" s="32">
        <v>50</v>
      </c>
      <c r="F9" s="33"/>
      <c r="G9" s="33"/>
      <c r="H9" s="32"/>
      <c r="I9" s="31" t="s">
        <v>192</v>
      </c>
      <c r="J9" s="31" t="s">
        <v>155</v>
      </c>
      <c r="K9" s="32"/>
      <c r="L9" s="31" t="s">
        <v>402</v>
      </c>
      <c r="M9" t="s">
        <v>396</v>
      </c>
      <c r="N9" s="36" t="s">
        <v>400</v>
      </c>
    </row>
    <row r="10" spans="1:14" x14ac:dyDescent="0.2">
      <c r="A10" s="30" t="s">
        <v>403</v>
      </c>
      <c r="B10" s="31" t="s">
        <v>381</v>
      </c>
      <c r="C10" s="31" t="s">
        <v>362</v>
      </c>
      <c r="D10" s="31">
        <v>300</v>
      </c>
      <c r="E10" s="32">
        <v>50</v>
      </c>
      <c r="F10" s="33"/>
      <c r="G10" s="33"/>
      <c r="H10" s="32"/>
      <c r="I10" s="31" t="s">
        <v>192</v>
      </c>
      <c r="J10" s="31" t="s">
        <v>155</v>
      </c>
      <c r="K10" s="31" t="s">
        <v>404</v>
      </c>
      <c r="L10" s="32"/>
      <c r="M10" t="s">
        <v>396</v>
      </c>
      <c r="N10" s="36" t="s">
        <v>405</v>
      </c>
    </row>
    <row r="11" spans="1:14" x14ac:dyDescent="0.2">
      <c r="A11" s="30" t="s">
        <v>406</v>
      </c>
      <c r="B11" s="31" t="s">
        <v>381</v>
      </c>
      <c r="C11" s="31" t="s">
        <v>362</v>
      </c>
      <c r="D11" s="31">
        <v>300</v>
      </c>
      <c r="E11" s="32">
        <v>50</v>
      </c>
      <c r="F11" s="33"/>
      <c r="G11" s="33"/>
      <c r="H11" s="31" t="s">
        <v>383</v>
      </c>
      <c r="I11" s="31" t="s">
        <v>192</v>
      </c>
      <c r="J11" s="32"/>
      <c r="K11" s="32"/>
      <c r="L11" s="31" t="s">
        <v>384</v>
      </c>
      <c r="M11" t="s">
        <v>407</v>
      </c>
      <c r="N11" s="36"/>
    </row>
    <row r="12" spans="1:14" x14ac:dyDescent="0.2">
      <c r="A12" s="30" t="s">
        <v>408</v>
      </c>
      <c r="B12" s="31" t="s">
        <v>381</v>
      </c>
      <c r="C12" s="31" t="s">
        <v>362</v>
      </c>
      <c r="D12" s="31">
        <v>300</v>
      </c>
      <c r="E12" s="32">
        <v>50</v>
      </c>
      <c r="F12" s="33"/>
      <c r="G12" s="33"/>
      <c r="H12" s="32"/>
      <c r="I12" s="31" t="s">
        <v>192</v>
      </c>
      <c r="J12" s="32"/>
      <c r="K12" s="32"/>
      <c r="L12" s="31" t="s">
        <v>384</v>
      </c>
      <c r="M12" t="s">
        <v>409</v>
      </c>
      <c r="N12" s="36"/>
    </row>
    <row r="13" spans="1:14" x14ac:dyDescent="0.2">
      <c r="A13" s="30" t="s">
        <v>410</v>
      </c>
      <c r="B13" s="31" t="s">
        <v>381</v>
      </c>
      <c r="C13" s="31" t="s">
        <v>362</v>
      </c>
      <c r="D13" s="31" t="s">
        <v>411</v>
      </c>
      <c r="E13" s="32">
        <v>50</v>
      </c>
      <c r="F13" s="33"/>
      <c r="G13" s="33"/>
      <c r="H13" s="32"/>
      <c r="I13" s="31" t="s">
        <v>192</v>
      </c>
      <c r="J13" s="32"/>
      <c r="K13" s="32"/>
      <c r="L13" s="32"/>
      <c r="M13" t="s">
        <v>412</v>
      </c>
      <c r="N13" s="36" t="s">
        <v>413</v>
      </c>
    </row>
    <row r="14" spans="1:14" x14ac:dyDescent="0.2">
      <c r="A14" s="30" t="s">
        <v>414</v>
      </c>
      <c r="B14" s="31" t="s">
        <v>381</v>
      </c>
      <c r="C14" s="31" t="s">
        <v>362</v>
      </c>
      <c r="D14" s="31">
        <v>400</v>
      </c>
      <c r="E14" s="32">
        <v>50</v>
      </c>
      <c r="F14" s="33"/>
      <c r="G14" s="33"/>
      <c r="H14" s="32"/>
      <c r="I14" s="31" t="s">
        <v>192</v>
      </c>
      <c r="J14" s="32"/>
      <c r="K14" s="32"/>
      <c r="L14" s="31" t="s">
        <v>384</v>
      </c>
      <c r="M14" t="s">
        <v>412</v>
      </c>
      <c r="N14" s="36"/>
    </row>
    <row r="15" spans="1:14" x14ac:dyDescent="0.2">
      <c r="A15" s="37" t="s">
        <v>415</v>
      </c>
      <c r="B15" s="38" t="s">
        <v>416</v>
      </c>
      <c r="C15" s="38" t="s">
        <v>362</v>
      </c>
      <c r="D15" s="39">
        <v>500</v>
      </c>
      <c r="E15" s="39">
        <v>45</v>
      </c>
      <c r="F15" s="39">
        <v>0.9</v>
      </c>
      <c r="G15" s="39"/>
      <c r="H15" s="39"/>
      <c r="I15" s="39"/>
      <c r="J15" s="39"/>
      <c r="K15" s="39"/>
      <c r="L15" s="39"/>
      <c r="M15" s="40"/>
      <c r="N15" s="4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9"/>
  <sheetViews>
    <sheetView workbookViewId="0">
      <selection activeCell="G37" sqref="G37"/>
    </sheetView>
  </sheetViews>
  <sheetFormatPr baseColWidth="10" defaultRowHeight="16" x14ac:dyDescent="0.2"/>
  <cols>
    <col min="1" max="1" width="19" bestFit="1" customWidth="1"/>
    <col min="3" max="3" width="19" bestFit="1" customWidth="1"/>
    <col min="13" max="13" width="35" bestFit="1" customWidth="1"/>
    <col min="14" max="14" width="28" bestFit="1" customWidth="1"/>
  </cols>
  <sheetData>
    <row r="1" spans="1:14" x14ac:dyDescent="0.2">
      <c r="A1" s="25" t="s">
        <v>417</v>
      </c>
      <c r="B1" s="42"/>
      <c r="C1" s="117" t="s">
        <v>364</v>
      </c>
      <c r="D1" s="42" t="s">
        <v>418</v>
      </c>
      <c r="E1" s="42" t="s">
        <v>419</v>
      </c>
      <c r="F1" s="42" t="s">
        <v>420</v>
      </c>
      <c r="G1" s="42" t="s">
        <v>367</v>
      </c>
      <c r="H1" s="42" t="s">
        <v>366</v>
      </c>
      <c r="I1" s="42" t="s">
        <v>372</v>
      </c>
      <c r="J1" s="42" t="s">
        <v>266</v>
      </c>
      <c r="K1" s="42" t="s">
        <v>421</v>
      </c>
      <c r="L1" s="42" t="s">
        <v>373</v>
      </c>
      <c r="M1" s="43" t="s">
        <v>422</v>
      </c>
      <c r="N1" s="29"/>
    </row>
    <row r="2" spans="1:14" x14ac:dyDescent="0.2">
      <c r="A2" s="44" t="s">
        <v>423</v>
      </c>
      <c r="B2" s="114" t="s">
        <v>424</v>
      </c>
      <c r="C2" s="45" t="s">
        <v>417</v>
      </c>
      <c r="D2" s="116" t="s">
        <v>416</v>
      </c>
      <c r="E2" s="45" t="s">
        <v>382</v>
      </c>
      <c r="F2" s="46">
        <v>2020</v>
      </c>
      <c r="G2" s="46">
        <v>6</v>
      </c>
      <c r="H2" s="46">
        <v>36</v>
      </c>
      <c r="I2" s="46"/>
      <c r="J2" s="46"/>
      <c r="K2" s="46"/>
      <c r="L2" s="46"/>
      <c r="M2" s="47" t="s">
        <v>425</v>
      </c>
      <c r="N2" s="34"/>
    </row>
    <row r="3" spans="1:14" x14ac:dyDescent="0.2">
      <c r="A3" s="48" t="s">
        <v>426</v>
      </c>
      <c r="B3" s="113" t="s">
        <v>424</v>
      </c>
      <c r="C3" s="31" t="s">
        <v>417</v>
      </c>
      <c r="D3" s="35" t="s">
        <v>416</v>
      </c>
      <c r="E3" s="31" t="s">
        <v>382</v>
      </c>
      <c r="F3" s="32">
        <v>3030</v>
      </c>
      <c r="G3" s="32">
        <v>8</v>
      </c>
      <c r="H3" s="32">
        <v>44</v>
      </c>
      <c r="I3" s="32"/>
      <c r="J3" s="32"/>
      <c r="K3" s="32"/>
      <c r="L3" s="32"/>
      <c r="M3" t="s">
        <v>427</v>
      </c>
      <c r="N3" s="36"/>
    </row>
    <row r="4" spans="1:14" x14ac:dyDescent="0.2">
      <c r="A4" s="48" t="s">
        <v>428</v>
      </c>
      <c r="B4" s="113" t="s">
        <v>429</v>
      </c>
      <c r="C4" s="31" t="s">
        <v>417</v>
      </c>
      <c r="D4" s="35" t="s">
        <v>381</v>
      </c>
      <c r="E4" s="31" t="s">
        <v>144</v>
      </c>
      <c r="F4" s="32">
        <v>12</v>
      </c>
      <c r="G4" s="32">
        <v>4</v>
      </c>
      <c r="H4" s="32">
        <v>36</v>
      </c>
      <c r="I4" s="32" t="s">
        <v>430</v>
      </c>
      <c r="J4" s="32" t="s">
        <v>383</v>
      </c>
      <c r="K4" s="32">
        <v>5</v>
      </c>
      <c r="L4" s="32"/>
      <c r="M4" t="s">
        <v>431</v>
      </c>
      <c r="N4" s="36" t="s">
        <v>432</v>
      </c>
    </row>
    <row r="5" spans="1:14" x14ac:dyDescent="0.2">
      <c r="A5" s="48" t="s">
        <v>433</v>
      </c>
      <c r="B5" s="113" t="s">
        <v>429</v>
      </c>
      <c r="C5" s="31" t="s">
        <v>417</v>
      </c>
      <c r="D5" s="35" t="s">
        <v>381</v>
      </c>
      <c r="E5" s="31" t="s">
        <v>144</v>
      </c>
      <c r="F5" s="32">
        <v>12</v>
      </c>
      <c r="G5" s="32">
        <v>4</v>
      </c>
      <c r="H5" s="32">
        <v>36</v>
      </c>
      <c r="I5" s="32"/>
      <c r="J5" s="32"/>
      <c r="K5" s="32"/>
      <c r="L5" s="32"/>
      <c r="M5" t="s">
        <v>434</v>
      </c>
      <c r="N5" s="36"/>
    </row>
    <row r="6" spans="1:14" x14ac:dyDescent="0.2">
      <c r="A6" s="48" t="s">
        <v>435</v>
      </c>
      <c r="B6" s="113" t="s">
        <v>429</v>
      </c>
      <c r="C6" s="31" t="s">
        <v>417</v>
      </c>
      <c r="D6" s="35" t="s">
        <v>381</v>
      </c>
      <c r="E6" s="31" t="s">
        <v>144</v>
      </c>
      <c r="F6" s="32">
        <v>12</v>
      </c>
      <c r="G6" s="32">
        <v>4</v>
      </c>
      <c r="H6" s="32">
        <v>36</v>
      </c>
      <c r="I6" s="32"/>
      <c r="J6" s="32" t="s">
        <v>383</v>
      </c>
      <c r="K6" s="32"/>
      <c r="L6" s="32" t="s">
        <v>384</v>
      </c>
      <c r="M6" t="s">
        <v>434</v>
      </c>
      <c r="N6" s="36" t="s">
        <v>436</v>
      </c>
    </row>
    <row r="7" spans="1:14" x14ac:dyDescent="0.2">
      <c r="A7" s="48" t="s">
        <v>437</v>
      </c>
      <c r="B7" s="113" t="s">
        <v>429</v>
      </c>
      <c r="C7" s="31" t="s">
        <v>417</v>
      </c>
      <c r="D7" s="35" t="s">
        <v>381</v>
      </c>
      <c r="E7" s="31" t="s">
        <v>144</v>
      </c>
      <c r="F7" s="32">
        <v>12</v>
      </c>
      <c r="G7" s="32">
        <v>4</v>
      </c>
      <c r="H7" s="32">
        <v>36</v>
      </c>
      <c r="I7" s="32"/>
      <c r="J7" s="32" t="s">
        <v>383</v>
      </c>
      <c r="K7" s="32"/>
      <c r="L7" s="32"/>
      <c r="M7" t="s">
        <v>438</v>
      </c>
      <c r="N7" s="36" t="s">
        <v>439</v>
      </c>
    </row>
    <row r="8" spans="1:14" x14ac:dyDescent="0.2">
      <c r="A8" s="48" t="s">
        <v>440</v>
      </c>
      <c r="B8" s="113" t="s">
        <v>429</v>
      </c>
      <c r="C8" s="31" t="s">
        <v>417</v>
      </c>
      <c r="D8" s="35" t="s">
        <v>381</v>
      </c>
      <c r="E8" s="31" t="s">
        <v>144</v>
      </c>
      <c r="F8" s="31">
        <v>15</v>
      </c>
      <c r="G8" s="32">
        <v>8</v>
      </c>
      <c r="H8" s="32">
        <v>50</v>
      </c>
      <c r="I8" s="32"/>
      <c r="J8" s="32"/>
      <c r="K8" s="32"/>
      <c r="L8" s="32"/>
      <c r="M8" t="s">
        <v>441</v>
      </c>
      <c r="N8" s="36"/>
    </row>
    <row r="9" spans="1:14" x14ac:dyDescent="0.2">
      <c r="A9" s="48" t="s">
        <v>442</v>
      </c>
      <c r="B9" s="113" t="s">
        <v>429</v>
      </c>
      <c r="C9" s="31" t="s">
        <v>417</v>
      </c>
      <c r="D9" s="35" t="s">
        <v>381</v>
      </c>
      <c r="E9" s="31" t="s">
        <v>144</v>
      </c>
      <c r="F9" s="31">
        <v>15</v>
      </c>
      <c r="G9" s="32">
        <v>8</v>
      </c>
      <c r="H9" s="32">
        <v>50</v>
      </c>
      <c r="I9" s="32" t="s">
        <v>344</v>
      </c>
      <c r="J9" s="32" t="s">
        <v>383</v>
      </c>
      <c r="K9" s="32"/>
      <c r="L9" s="32" t="s">
        <v>443</v>
      </c>
      <c r="M9" t="s">
        <v>444</v>
      </c>
      <c r="N9" s="36" t="s">
        <v>445</v>
      </c>
    </row>
    <row r="10" spans="1:14" x14ac:dyDescent="0.2">
      <c r="A10" s="48" t="s">
        <v>446</v>
      </c>
      <c r="B10" s="113" t="s">
        <v>429</v>
      </c>
      <c r="C10" s="31" t="s">
        <v>417</v>
      </c>
      <c r="D10" s="35" t="s">
        <v>381</v>
      </c>
      <c r="E10" s="31" t="s">
        <v>144</v>
      </c>
      <c r="F10" s="31">
        <v>15</v>
      </c>
      <c r="G10" s="32">
        <v>8</v>
      </c>
      <c r="H10" s="32">
        <v>50</v>
      </c>
      <c r="I10" s="32"/>
      <c r="J10" s="32" t="s">
        <v>383</v>
      </c>
      <c r="K10" s="32"/>
      <c r="L10" s="32" t="s">
        <v>384</v>
      </c>
      <c r="M10" t="s">
        <v>447</v>
      </c>
      <c r="N10" s="36" t="s">
        <v>384</v>
      </c>
    </row>
    <row r="11" spans="1:14" x14ac:dyDescent="0.2">
      <c r="A11" s="48" t="s">
        <v>448</v>
      </c>
      <c r="B11" s="113" t="s">
        <v>429</v>
      </c>
      <c r="C11" s="31" t="s">
        <v>417</v>
      </c>
      <c r="D11" s="35" t="s">
        <v>381</v>
      </c>
      <c r="E11" s="31" t="s">
        <v>144</v>
      </c>
      <c r="F11" s="31"/>
      <c r="G11" s="32"/>
      <c r="H11" s="32"/>
      <c r="I11" s="32"/>
      <c r="J11" s="32"/>
      <c r="K11" s="32"/>
      <c r="L11" s="32"/>
      <c r="M11" t="s">
        <v>449</v>
      </c>
      <c r="N11" s="36"/>
    </row>
    <row r="12" spans="1:14" x14ac:dyDescent="0.2">
      <c r="A12" s="48" t="s">
        <v>450</v>
      </c>
      <c r="B12" s="113" t="s">
        <v>429</v>
      </c>
      <c r="C12" s="31" t="s">
        <v>417</v>
      </c>
      <c r="D12" s="35" t="s">
        <v>381</v>
      </c>
      <c r="E12" s="31" t="s">
        <v>144</v>
      </c>
      <c r="F12" s="31">
        <v>15</v>
      </c>
      <c r="G12" s="32">
        <v>10</v>
      </c>
      <c r="H12" s="32">
        <v>30</v>
      </c>
      <c r="I12" s="32"/>
      <c r="J12" s="32" t="s">
        <v>383</v>
      </c>
      <c r="K12" s="32"/>
      <c r="L12" s="32" t="s">
        <v>384</v>
      </c>
      <c r="M12" t="s">
        <v>451</v>
      </c>
      <c r="N12" s="36" t="s">
        <v>384</v>
      </c>
    </row>
    <row r="13" spans="1:14" x14ac:dyDescent="0.2">
      <c r="A13" s="48" t="s">
        <v>452</v>
      </c>
      <c r="B13" s="113" t="s">
        <v>429</v>
      </c>
      <c r="C13" s="31" t="s">
        <v>417</v>
      </c>
      <c r="D13" s="35" t="s">
        <v>381</v>
      </c>
      <c r="E13" s="31" t="s">
        <v>144</v>
      </c>
      <c r="F13" s="31">
        <v>15</v>
      </c>
      <c r="G13" s="32">
        <v>10</v>
      </c>
      <c r="H13" s="32">
        <v>42</v>
      </c>
      <c r="I13" s="32"/>
      <c r="J13" s="32" t="s">
        <v>383</v>
      </c>
      <c r="K13" s="32"/>
      <c r="L13" s="32" t="s">
        <v>384</v>
      </c>
      <c r="M13" t="s">
        <v>453</v>
      </c>
      <c r="N13" s="36" t="s">
        <v>384</v>
      </c>
    </row>
    <row r="14" spans="1:14" x14ac:dyDescent="0.2">
      <c r="A14" s="48" t="s">
        <v>454</v>
      </c>
      <c r="B14" s="113" t="s">
        <v>429</v>
      </c>
      <c r="C14" s="31" t="s">
        <v>417</v>
      </c>
      <c r="D14" s="35" t="s">
        <v>381</v>
      </c>
      <c r="E14" s="31" t="s">
        <v>144</v>
      </c>
      <c r="F14" s="31"/>
      <c r="G14" s="32"/>
      <c r="H14" s="32"/>
      <c r="I14" s="32"/>
      <c r="J14" s="32"/>
      <c r="K14" s="32"/>
      <c r="L14" s="32"/>
      <c r="M14" t="s">
        <v>455</v>
      </c>
      <c r="N14" s="36"/>
    </row>
    <row r="15" spans="1:14" x14ac:dyDescent="0.2">
      <c r="A15" s="48" t="s">
        <v>456</v>
      </c>
      <c r="B15" s="113" t="s">
        <v>429</v>
      </c>
      <c r="C15" s="31" t="s">
        <v>417</v>
      </c>
      <c r="D15" s="35" t="s">
        <v>381</v>
      </c>
      <c r="E15" s="31" t="s">
        <v>144</v>
      </c>
      <c r="F15" s="31">
        <v>15</v>
      </c>
      <c r="G15" s="32">
        <v>4</v>
      </c>
      <c r="H15" s="32">
        <v>41</v>
      </c>
      <c r="I15" s="32"/>
      <c r="J15" s="32"/>
      <c r="K15" s="32"/>
      <c r="L15" s="32"/>
      <c r="M15" t="s">
        <v>457</v>
      </c>
      <c r="N15" s="36"/>
    </row>
    <row r="16" spans="1:14" x14ac:dyDescent="0.2">
      <c r="A16" s="48" t="s">
        <v>458</v>
      </c>
      <c r="B16" s="113" t="s">
        <v>429</v>
      </c>
      <c r="C16" s="31" t="s">
        <v>417</v>
      </c>
      <c r="D16" s="35" t="s">
        <v>381</v>
      </c>
      <c r="E16" s="31" t="s">
        <v>144</v>
      </c>
      <c r="F16" s="31">
        <v>15</v>
      </c>
      <c r="G16" s="32">
        <v>4</v>
      </c>
      <c r="H16" s="32">
        <v>41</v>
      </c>
      <c r="I16" s="32"/>
      <c r="J16" s="32" t="s">
        <v>383</v>
      </c>
      <c r="K16" s="32"/>
      <c r="L16" s="32"/>
      <c r="M16" t="s">
        <v>459</v>
      </c>
      <c r="N16" s="36"/>
    </row>
    <row r="17" spans="1:14" x14ac:dyDescent="0.2">
      <c r="A17" s="48" t="s">
        <v>460</v>
      </c>
      <c r="B17" s="113" t="s">
        <v>429</v>
      </c>
      <c r="C17" s="31" t="s">
        <v>417</v>
      </c>
      <c r="D17" s="35" t="s">
        <v>381</v>
      </c>
      <c r="E17" s="31" t="s">
        <v>461</v>
      </c>
      <c r="F17" s="31">
        <v>15</v>
      </c>
      <c r="G17" s="32">
        <v>4</v>
      </c>
      <c r="H17" s="32">
        <v>49</v>
      </c>
      <c r="I17" s="32"/>
      <c r="J17" s="32"/>
      <c r="K17" s="32"/>
      <c r="L17" s="32"/>
      <c r="M17" t="s">
        <v>462</v>
      </c>
      <c r="N17" s="36" t="s">
        <v>463</v>
      </c>
    </row>
    <row r="18" spans="1:14" x14ac:dyDescent="0.2">
      <c r="A18" s="48" t="s">
        <v>464</v>
      </c>
      <c r="B18" s="113" t="s">
        <v>429</v>
      </c>
      <c r="C18" s="31" t="s">
        <v>417</v>
      </c>
      <c r="D18" s="35" t="s">
        <v>381</v>
      </c>
      <c r="E18" s="31" t="s">
        <v>461</v>
      </c>
      <c r="F18" s="31">
        <v>15</v>
      </c>
      <c r="G18" s="32">
        <v>4</v>
      </c>
      <c r="H18" s="32">
        <v>49</v>
      </c>
      <c r="I18" s="32"/>
      <c r="J18" s="32" t="s">
        <v>383</v>
      </c>
      <c r="K18" s="32"/>
      <c r="L18" s="32"/>
      <c r="M18" t="s">
        <v>465</v>
      </c>
      <c r="N18" s="36" t="s">
        <v>466</v>
      </c>
    </row>
    <row r="19" spans="1:14" x14ac:dyDescent="0.2">
      <c r="A19" s="48" t="s">
        <v>467</v>
      </c>
      <c r="B19" s="113" t="s">
        <v>429</v>
      </c>
      <c r="C19" s="31" t="s">
        <v>417</v>
      </c>
      <c r="D19" s="35" t="s">
        <v>381</v>
      </c>
      <c r="E19" s="31" t="s">
        <v>461</v>
      </c>
      <c r="F19" s="31">
        <v>15</v>
      </c>
      <c r="G19" s="31">
        <v>4</v>
      </c>
      <c r="H19" s="32">
        <v>49</v>
      </c>
      <c r="I19" s="32"/>
      <c r="J19" s="32" t="s">
        <v>383</v>
      </c>
      <c r="K19" s="31"/>
      <c r="L19" s="31" t="s">
        <v>384</v>
      </c>
      <c r="M19" t="s">
        <v>462</v>
      </c>
      <c r="N19" s="36" t="s">
        <v>468</v>
      </c>
    </row>
    <row r="20" spans="1:14" x14ac:dyDescent="0.2">
      <c r="A20" s="48" t="s">
        <v>469</v>
      </c>
      <c r="B20" s="113" t="s">
        <v>429</v>
      </c>
      <c r="C20" s="31" t="s">
        <v>417</v>
      </c>
      <c r="D20" s="35" t="s">
        <v>381</v>
      </c>
      <c r="E20" s="31" t="s">
        <v>461</v>
      </c>
      <c r="F20" s="31">
        <v>15</v>
      </c>
      <c r="G20" s="32">
        <v>4</v>
      </c>
      <c r="H20" s="32">
        <v>49</v>
      </c>
      <c r="I20" s="32"/>
      <c r="J20" s="32"/>
      <c r="K20" s="32" t="s">
        <v>146</v>
      </c>
      <c r="L20" s="32"/>
      <c r="M20" t="s">
        <v>462</v>
      </c>
      <c r="N20" s="36" t="s">
        <v>470</v>
      </c>
    </row>
    <row r="21" spans="1:14" x14ac:dyDescent="0.2">
      <c r="A21" s="48" t="s">
        <v>471</v>
      </c>
      <c r="B21" s="113" t="s">
        <v>429</v>
      </c>
      <c r="C21" s="31" t="s">
        <v>417</v>
      </c>
      <c r="D21" s="35" t="s">
        <v>381</v>
      </c>
      <c r="E21" s="31" t="s">
        <v>461</v>
      </c>
      <c r="F21" s="31">
        <v>15</v>
      </c>
      <c r="G21" s="32">
        <v>4</v>
      </c>
      <c r="H21" s="32">
        <v>49</v>
      </c>
      <c r="I21" s="32"/>
      <c r="J21" s="32" t="s">
        <v>383</v>
      </c>
      <c r="K21" s="32" t="s">
        <v>146</v>
      </c>
      <c r="L21" s="32"/>
      <c r="M21" t="s">
        <v>462</v>
      </c>
      <c r="N21" s="36" t="s">
        <v>472</v>
      </c>
    </row>
    <row r="22" spans="1:14" x14ac:dyDescent="0.2">
      <c r="A22" s="48" t="s">
        <v>473</v>
      </c>
      <c r="B22" s="113" t="s">
        <v>474</v>
      </c>
      <c r="C22" s="31" t="s">
        <v>417</v>
      </c>
      <c r="D22" s="35" t="s">
        <v>381</v>
      </c>
      <c r="E22" s="31" t="s">
        <v>475</v>
      </c>
      <c r="F22" s="31">
        <v>15</v>
      </c>
      <c r="G22" s="32">
        <v>5</v>
      </c>
      <c r="H22" s="32">
        <v>39</v>
      </c>
      <c r="I22" s="32"/>
      <c r="J22" s="32"/>
      <c r="K22" s="32"/>
      <c r="L22" s="32"/>
      <c r="M22" t="s">
        <v>476</v>
      </c>
      <c r="N22" s="36" t="s">
        <v>477</v>
      </c>
    </row>
    <row r="23" spans="1:14" x14ac:dyDescent="0.2">
      <c r="A23" s="48" t="s">
        <v>478</v>
      </c>
      <c r="B23" s="113" t="s">
        <v>474</v>
      </c>
      <c r="C23" s="31" t="s">
        <v>417</v>
      </c>
      <c r="D23" s="35" t="s">
        <v>381</v>
      </c>
      <c r="E23" s="31" t="s">
        <v>475</v>
      </c>
      <c r="F23" s="31">
        <v>15</v>
      </c>
      <c r="G23" s="32">
        <v>5</v>
      </c>
      <c r="H23" s="32">
        <v>39</v>
      </c>
      <c r="I23" s="32"/>
      <c r="J23" s="32" t="s">
        <v>383</v>
      </c>
      <c r="K23" s="32"/>
      <c r="L23" s="32" t="s">
        <v>384</v>
      </c>
      <c r="M23" t="s">
        <v>465</v>
      </c>
      <c r="N23" s="36" t="s">
        <v>479</v>
      </c>
    </row>
    <row r="24" spans="1:14" x14ac:dyDescent="0.2">
      <c r="A24" s="48" t="s">
        <v>480</v>
      </c>
      <c r="B24" s="113" t="s">
        <v>474</v>
      </c>
      <c r="C24" s="31" t="s">
        <v>417</v>
      </c>
      <c r="D24" s="35" t="s">
        <v>381</v>
      </c>
      <c r="E24" s="31" t="s">
        <v>475</v>
      </c>
      <c r="F24" s="31">
        <v>15</v>
      </c>
      <c r="G24" s="32">
        <v>5</v>
      </c>
      <c r="H24" s="32">
        <v>39</v>
      </c>
      <c r="I24" s="32" t="s">
        <v>243</v>
      </c>
      <c r="J24" s="32" t="s">
        <v>383</v>
      </c>
      <c r="K24" s="32"/>
      <c r="L24" s="32" t="s">
        <v>384</v>
      </c>
      <c r="M24" t="s">
        <v>465</v>
      </c>
      <c r="N24" s="36" t="s">
        <v>481</v>
      </c>
    </row>
    <row r="25" spans="1:14" x14ac:dyDescent="0.2">
      <c r="A25" s="48" t="s">
        <v>482</v>
      </c>
      <c r="B25" s="113" t="s">
        <v>483</v>
      </c>
      <c r="C25" s="31" t="s">
        <v>417</v>
      </c>
      <c r="D25" s="35" t="s">
        <v>381</v>
      </c>
      <c r="E25" s="31" t="s">
        <v>461</v>
      </c>
      <c r="F25" s="31">
        <v>15</v>
      </c>
      <c r="G25" s="32">
        <v>4</v>
      </c>
      <c r="H25" s="32">
        <v>49</v>
      </c>
      <c r="I25" s="32"/>
      <c r="J25" s="32" t="s">
        <v>383</v>
      </c>
      <c r="K25" s="32"/>
      <c r="L25" s="32"/>
      <c r="M25" t="s">
        <v>484</v>
      </c>
      <c r="N25" s="36" t="s">
        <v>485</v>
      </c>
    </row>
    <row r="26" spans="1:14" x14ac:dyDescent="0.2">
      <c r="A26" s="48" t="s">
        <v>486</v>
      </c>
      <c r="B26" s="113" t="s">
        <v>483</v>
      </c>
      <c r="C26" s="31" t="s">
        <v>417</v>
      </c>
      <c r="D26" s="35" t="s">
        <v>381</v>
      </c>
      <c r="E26" s="31" t="s">
        <v>461</v>
      </c>
      <c r="F26" s="31">
        <v>15</v>
      </c>
      <c r="G26" s="32">
        <v>4</v>
      </c>
      <c r="H26" s="32">
        <v>49</v>
      </c>
      <c r="I26" s="32"/>
      <c r="J26" s="32" t="s">
        <v>383</v>
      </c>
      <c r="K26" s="32"/>
      <c r="L26" s="32" t="s">
        <v>384</v>
      </c>
      <c r="M26" t="s">
        <v>484</v>
      </c>
      <c r="N26" s="36" t="s">
        <v>487</v>
      </c>
    </row>
    <row r="27" spans="1:14" x14ac:dyDescent="0.2">
      <c r="A27" s="48" t="s">
        <v>488</v>
      </c>
      <c r="B27" s="113" t="s">
        <v>483</v>
      </c>
      <c r="C27" s="31" t="s">
        <v>417</v>
      </c>
      <c r="D27" s="35" t="s">
        <v>381</v>
      </c>
      <c r="E27" s="31" t="s">
        <v>461</v>
      </c>
      <c r="F27" s="31">
        <v>15</v>
      </c>
      <c r="G27" s="32">
        <v>4</v>
      </c>
      <c r="H27" s="32">
        <v>49</v>
      </c>
      <c r="I27" s="32"/>
      <c r="J27" s="32"/>
      <c r="K27" s="32"/>
      <c r="L27" s="32"/>
      <c r="M27" t="s">
        <v>489</v>
      </c>
      <c r="N27" s="36" t="s">
        <v>384</v>
      </c>
    </row>
    <row r="28" spans="1:14" x14ac:dyDescent="0.2">
      <c r="A28" s="48" t="s">
        <v>490</v>
      </c>
      <c r="B28" s="113" t="s">
        <v>491</v>
      </c>
      <c r="C28" s="31" t="s">
        <v>417</v>
      </c>
      <c r="D28" s="35" t="s">
        <v>381</v>
      </c>
      <c r="E28" s="31" t="s">
        <v>144</v>
      </c>
      <c r="F28" s="31">
        <v>15</v>
      </c>
      <c r="G28" s="32">
        <v>6</v>
      </c>
      <c r="H28" s="32">
        <v>40</v>
      </c>
      <c r="I28" s="32"/>
      <c r="J28" s="32"/>
      <c r="K28" s="32"/>
      <c r="L28" s="32" t="s">
        <v>384</v>
      </c>
      <c r="M28" t="s">
        <v>492</v>
      </c>
      <c r="N28" s="36"/>
    </row>
    <row r="29" spans="1:14" x14ac:dyDescent="0.2">
      <c r="A29" s="49" t="s">
        <v>493</v>
      </c>
      <c r="B29" s="115" t="s">
        <v>494</v>
      </c>
      <c r="C29" s="38" t="s">
        <v>417</v>
      </c>
      <c r="D29" s="77" t="s">
        <v>381</v>
      </c>
      <c r="E29" s="38" t="s">
        <v>475</v>
      </c>
      <c r="F29" s="38">
        <v>15</v>
      </c>
      <c r="G29" s="39">
        <v>5</v>
      </c>
      <c r="H29" s="39">
        <v>39</v>
      </c>
      <c r="I29" s="39"/>
      <c r="J29" s="39"/>
      <c r="K29" s="39"/>
      <c r="L29" s="39" t="s">
        <v>384</v>
      </c>
      <c r="M29" s="40" t="s">
        <v>495</v>
      </c>
      <c r="N29" s="41" t="s">
        <v>384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>
      <selection activeCell="E16" sqref="E16"/>
    </sheetView>
  </sheetViews>
  <sheetFormatPr baseColWidth="10" defaultRowHeight="16" x14ac:dyDescent="0.2"/>
  <cols>
    <col min="2" max="2" width="30.33203125" bestFit="1" customWidth="1"/>
    <col min="3" max="3" width="25.6640625" bestFit="1" customWidth="1"/>
  </cols>
  <sheetData>
    <row r="1" spans="1:8" x14ac:dyDescent="0.2">
      <c r="A1" s="111" t="s">
        <v>496</v>
      </c>
      <c r="B1" s="111" t="s">
        <v>141</v>
      </c>
      <c r="C1" s="111" t="s">
        <v>9</v>
      </c>
      <c r="D1" s="112" t="s">
        <v>497</v>
      </c>
      <c r="E1" s="112" t="s">
        <v>3</v>
      </c>
      <c r="F1" s="112" t="s">
        <v>498</v>
      </c>
      <c r="G1" s="112" t="s">
        <v>266</v>
      </c>
      <c r="H1" s="112" t="s">
        <v>373</v>
      </c>
    </row>
    <row r="2" spans="1:8" x14ac:dyDescent="0.2">
      <c r="A2" s="83" t="s">
        <v>499</v>
      </c>
    </row>
    <row r="3" spans="1:8" x14ac:dyDescent="0.2">
      <c r="A3" s="83"/>
    </row>
    <row r="4" spans="1:8" x14ac:dyDescent="0.2">
      <c r="A4" s="111" t="s">
        <v>500</v>
      </c>
      <c r="B4" s="12" t="s">
        <v>501</v>
      </c>
      <c r="C4" s="12" t="s">
        <v>502</v>
      </c>
      <c r="D4" s="22" t="s">
        <v>503</v>
      </c>
      <c r="E4" s="23">
        <v>30</v>
      </c>
      <c r="F4" s="22" t="s">
        <v>443</v>
      </c>
      <c r="G4" s="22" t="s">
        <v>383</v>
      </c>
      <c r="H4" s="23"/>
    </row>
    <row r="5" spans="1:8" x14ac:dyDescent="0.2">
      <c r="A5" s="111" t="s">
        <v>504</v>
      </c>
      <c r="B5" s="12" t="s">
        <v>505</v>
      </c>
      <c r="C5" s="12" t="s">
        <v>502</v>
      </c>
      <c r="D5" s="22" t="s">
        <v>503</v>
      </c>
      <c r="E5" s="23">
        <v>30</v>
      </c>
      <c r="F5" s="22" t="s">
        <v>443</v>
      </c>
      <c r="G5" s="22" t="s">
        <v>383</v>
      </c>
      <c r="H5" s="22" t="s">
        <v>384</v>
      </c>
    </row>
    <row r="6" spans="1:8" x14ac:dyDescent="0.2">
      <c r="A6" s="111" t="s">
        <v>506</v>
      </c>
      <c r="B6" s="12" t="s">
        <v>507</v>
      </c>
      <c r="C6" s="12" t="s">
        <v>502</v>
      </c>
      <c r="D6" s="22" t="s">
        <v>503</v>
      </c>
      <c r="E6" s="23">
        <v>30</v>
      </c>
      <c r="F6" s="22" t="s">
        <v>155</v>
      </c>
      <c r="G6" s="22"/>
      <c r="H6" s="23"/>
    </row>
    <row r="7" spans="1:8" x14ac:dyDescent="0.2">
      <c r="A7" s="111" t="s">
        <v>508</v>
      </c>
      <c r="B7" s="12" t="s">
        <v>509</v>
      </c>
      <c r="C7" s="12" t="s">
        <v>510</v>
      </c>
      <c r="D7" s="22" t="s">
        <v>503</v>
      </c>
      <c r="E7" s="23">
        <v>40</v>
      </c>
      <c r="F7" s="22" t="s">
        <v>443</v>
      </c>
      <c r="G7" s="22" t="s">
        <v>383</v>
      </c>
      <c r="H7" s="23"/>
    </row>
    <row r="8" spans="1:8" x14ac:dyDescent="0.2">
      <c r="D8" s="1"/>
      <c r="E8" s="1"/>
      <c r="F8" s="1"/>
      <c r="G8" s="1"/>
      <c r="H8" s="1"/>
    </row>
    <row r="9" spans="1:8" x14ac:dyDescent="0.2">
      <c r="A9" s="83" t="s">
        <v>511</v>
      </c>
      <c r="D9" s="1"/>
      <c r="E9" s="1"/>
      <c r="F9" s="1"/>
      <c r="G9" s="1"/>
      <c r="H9" s="1"/>
    </row>
    <row r="10" spans="1:8" x14ac:dyDescent="0.2">
      <c r="A10" s="111" t="s">
        <v>512</v>
      </c>
      <c r="B10" s="12" t="s">
        <v>513</v>
      </c>
      <c r="C10" s="12" t="s">
        <v>514</v>
      </c>
      <c r="D10" s="22" t="s">
        <v>515</v>
      </c>
      <c r="E10" s="23">
        <v>30</v>
      </c>
      <c r="F10" s="22" t="s">
        <v>443</v>
      </c>
      <c r="G10" s="22"/>
      <c r="H10" s="23"/>
    </row>
    <row r="11" spans="1:8" x14ac:dyDescent="0.2">
      <c r="A11" s="111" t="s">
        <v>516</v>
      </c>
      <c r="B11" s="12" t="s">
        <v>517</v>
      </c>
      <c r="C11" s="12" t="s">
        <v>518</v>
      </c>
      <c r="D11" s="22" t="s">
        <v>515</v>
      </c>
      <c r="E11" s="23">
        <v>45</v>
      </c>
      <c r="F11" s="22" t="s">
        <v>519</v>
      </c>
      <c r="G11" s="22"/>
      <c r="H11" s="22" t="s">
        <v>384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"/>
  <sheetViews>
    <sheetView workbookViewId="0">
      <selection activeCell="B7" sqref="B7"/>
    </sheetView>
  </sheetViews>
  <sheetFormatPr baseColWidth="10" defaultRowHeight="16" x14ac:dyDescent="0.2"/>
  <cols>
    <col min="1" max="1" width="20.6640625" bestFit="1" customWidth="1"/>
    <col min="2" max="2" width="25.6640625" bestFit="1" customWidth="1"/>
    <col min="9" max="9" width="12.1640625" bestFit="1" customWidth="1"/>
    <col min="10" max="10" width="45.1640625" bestFit="1" customWidth="1"/>
    <col min="11" max="11" width="28.1640625" bestFit="1" customWidth="1"/>
  </cols>
  <sheetData>
    <row r="1" spans="1:11" ht="17" customHeight="1" thickBot="1" x14ac:dyDescent="0.25">
      <c r="A1" s="13" t="s">
        <v>520</v>
      </c>
      <c r="B1" s="14" t="s">
        <v>521</v>
      </c>
      <c r="C1" s="14" t="s">
        <v>234</v>
      </c>
      <c r="D1" s="14" t="s">
        <v>3</v>
      </c>
      <c r="E1" s="14" t="s">
        <v>522</v>
      </c>
      <c r="F1" s="14" t="s">
        <v>523</v>
      </c>
      <c r="G1" s="14" t="s">
        <v>524</v>
      </c>
      <c r="H1" s="14" t="s">
        <v>6</v>
      </c>
      <c r="I1" s="14" t="s">
        <v>237</v>
      </c>
      <c r="J1" s="14" t="s">
        <v>141</v>
      </c>
      <c r="K1" s="15" t="s">
        <v>9</v>
      </c>
    </row>
    <row r="2" spans="1:11" x14ac:dyDescent="0.2">
      <c r="A2" s="60" t="s">
        <v>525</v>
      </c>
      <c r="B2" s="61"/>
      <c r="C2" s="62"/>
      <c r="D2" s="62"/>
      <c r="E2" s="63"/>
      <c r="F2" s="62"/>
      <c r="G2" s="62"/>
      <c r="H2" s="64"/>
      <c r="I2" s="39"/>
      <c r="J2" s="65"/>
      <c r="K2" s="65"/>
    </row>
    <row r="3" spans="1:11" x14ac:dyDescent="0.2">
      <c r="A3" s="24" t="s">
        <v>526</v>
      </c>
      <c r="B3" s="22" t="s">
        <v>527</v>
      </c>
      <c r="C3" s="23">
        <v>33</v>
      </c>
      <c r="D3" s="23">
        <v>180</v>
      </c>
      <c r="E3" s="23"/>
      <c r="F3" s="23"/>
      <c r="G3" s="23"/>
      <c r="H3" s="23"/>
      <c r="I3" s="22" t="s">
        <v>79</v>
      </c>
      <c r="J3" s="24" t="s">
        <v>528</v>
      </c>
      <c r="K3" s="12"/>
    </row>
    <row r="4" spans="1:11" x14ac:dyDescent="0.2">
      <c r="A4" s="12" t="s">
        <v>529</v>
      </c>
      <c r="B4" s="22" t="s">
        <v>527</v>
      </c>
      <c r="C4" s="23">
        <v>39</v>
      </c>
      <c r="D4" s="52" t="s">
        <v>180</v>
      </c>
      <c r="E4" s="52"/>
      <c r="F4" s="22" t="s">
        <v>19</v>
      </c>
      <c r="G4" s="22"/>
      <c r="H4" s="23"/>
      <c r="I4" s="23"/>
      <c r="J4" s="12" t="s">
        <v>530</v>
      </c>
      <c r="K4" s="12"/>
    </row>
    <row r="5" spans="1:11" x14ac:dyDescent="0.2">
      <c r="A5" s="12" t="s">
        <v>531</v>
      </c>
      <c r="B5" s="22" t="s">
        <v>527</v>
      </c>
      <c r="C5" s="23">
        <v>47</v>
      </c>
      <c r="D5" s="23">
        <v>210</v>
      </c>
      <c r="E5" s="23"/>
      <c r="F5" s="22" t="s">
        <v>19</v>
      </c>
      <c r="G5" s="22"/>
      <c r="H5" s="23"/>
      <c r="I5" s="23"/>
      <c r="J5" s="12" t="s">
        <v>532</v>
      </c>
      <c r="K5" s="12"/>
    </row>
    <row r="6" spans="1:11" x14ac:dyDescent="0.2">
      <c r="A6" s="24" t="s">
        <v>533</v>
      </c>
      <c r="B6" s="22" t="s">
        <v>527</v>
      </c>
      <c r="C6" s="22">
        <v>47</v>
      </c>
      <c r="D6" s="23">
        <v>240</v>
      </c>
      <c r="E6" s="23"/>
      <c r="F6" s="22" t="s">
        <v>19</v>
      </c>
      <c r="G6" s="22"/>
      <c r="H6" s="52"/>
      <c r="I6" s="52"/>
      <c r="J6" s="24" t="s">
        <v>534</v>
      </c>
      <c r="K6" s="12"/>
    </row>
    <row r="7" spans="1:11" x14ac:dyDescent="0.2">
      <c r="A7" s="12" t="s">
        <v>535</v>
      </c>
      <c r="B7" s="22" t="s">
        <v>527</v>
      </c>
      <c r="C7" s="22">
        <v>47</v>
      </c>
      <c r="D7" s="23">
        <v>300</v>
      </c>
      <c r="E7" s="23"/>
      <c r="F7" s="22" t="s">
        <v>19</v>
      </c>
      <c r="G7" s="22"/>
      <c r="H7" s="23"/>
      <c r="I7" s="23"/>
      <c r="J7" s="12" t="s">
        <v>536</v>
      </c>
      <c r="K7" s="12"/>
    </row>
    <row r="8" spans="1:11" x14ac:dyDescent="0.2">
      <c r="A8" s="24" t="s">
        <v>537</v>
      </c>
      <c r="B8" s="22" t="s">
        <v>527</v>
      </c>
      <c r="C8" s="22">
        <v>47</v>
      </c>
      <c r="D8" s="23">
        <v>90</v>
      </c>
      <c r="E8" s="23"/>
      <c r="F8" s="22" t="s">
        <v>19</v>
      </c>
      <c r="G8" s="22" t="s">
        <v>538</v>
      </c>
      <c r="H8" s="23"/>
      <c r="I8" s="23"/>
      <c r="J8" s="12" t="s">
        <v>539</v>
      </c>
      <c r="K8" s="12" t="s">
        <v>540</v>
      </c>
    </row>
    <row r="9" spans="1:11" x14ac:dyDescent="0.2">
      <c r="A9" s="24" t="s">
        <v>541</v>
      </c>
      <c r="B9" s="22" t="s">
        <v>527</v>
      </c>
      <c r="C9" s="22">
        <v>47</v>
      </c>
      <c r="D9" s="23">
        <v>300</v>
      </c>
      <c r="E9" s="23"/>
      <c r="F9" s="22" t="s">
        <v>19</v>
      </c>
      <c r="G9" s="22" t="s">
        <v>542</v>
      </c>
      <c r="H9" s="23"/>
      <c r="I9" s="23"/>
      <c r="J9" s="12" t="s">
        <v>536</v>
      </c>
      <c r="K9" s="24" t="s">
        <v>543</v>
      </c>
    </row>
    <row r="10" spans="1:11" x14ac:dyDescent="0.2">
      <c r="A10" s="12"/>
      <c r="B10" s="22"/>
      <c r="C10" s="22"/>
      <c r="D10" s="23"/>
      <c r="E10" s="23"/>
      <c r="F10" s="23"/>
      <c r="G10" s="23"/>
      <c r="H10" s="23"/>
      <c r="I10" s="23"/>
      <c r="J10" s="12"/>
      <c r="K10" s="12"/>
    </row>
    <row r="11" spans="1:11" x14ac:dyDescent="0.2">
      <c r="A11" s="53" t="s">
        <v>544</v>
      </c>
      <c r="B11" s="45"/>
      <c r="C11" s="45"/>
      <c r="D11" s="46"/>
      <c r="E11" s="46"/>
      <c r="F11" s="46"/>
      <c r="G11" s="46"/>
      <c r="H11" s="46"/>
      <c r="I11" s="46"/>
      <c r="J11" s="54"/>
      <c r="K11" s="54"/>
    </row>
    <row r="12" spans="1:11" x14ac:dyDescent="0.2">
      <c r="A12" s="55" t="s">
        <v>545</v>
      </c>
      <c r="B12" s="45" t="s">
        <v>546</v>
      </c>
      <c r="C12" s="45">
        <v>47</v>
      </c>
      <c r="D12" s="46">
        <v>210</v>
      </c>
      <c r="E12" s="46"/>
      <c r="F12" s="45" t="s">
        <v>19</v>
      </c>
      <c r="G12" s="45"/>
      <c r="H12" s="46"/>
      <c r="I12" s="45" t="s">
        <v>1073</v>
      </c>
      <c r="J12" s="55" t="s">
        <v>547</v>
      </c>
      <c r="K12" s="54"/>
    </row>
    <row r="13" spans="1:11" x14ac:dyDescent="0.2">
      <c r="A13" s="55"/>
      <c r="B13" s="45"/>
      <c r="C13" s="45"/>
      <c r="D13" s="46"/>
      <c r="E13" s="46"/>
      <c r="F13" s="45"/>
      <c r="G13" s="45"/>
      <c r="H13" s="46"/>
      <c r="I13" s="45"/>
      <c r="J13" s="55"/>
      <c r="K13" s="54"/>
    </row>
    <row r="14" spans="1:11" x14ac:dyDescent="0.2">
      <c r="A14" s="50" t="s">
        <v>548</v>
      </c>
      <c r="B14" s="22"/>
      <c r="C14" s="22"/>
      <c r="D14" s="23"/>
      <c r="E14" s="23"/>
      <c r="F14" s="23"/>
      <c r="G14" s="23"/>
      <c r="H14" s="23"/>
      <c r="I14" s="23"/>
      <c r="J14" s="12"/>
      <c r="K14" s="12"/>
    </row>
    <row r="15" spans="1:11" x14ac:dyDescent="0.2">
      <c r="A15" s="12" t="s">
        <v>549</v>
      </c>
      <c r="B15" s="23" t="s">
        <v>550</v>
      </c>
      <c r="C15" s="23">
        <v>47</v>
      </c>
      <c r="D15" s="23">
        <v>210</v>
      </c>
      <c r="E15" s="23"/>
      <c r="F15" s="22" t="s">
        <v>19</v>
      </c>
      <c r="G15" s="23"/>
      <c r="H15" s="23"/>
      <c r="I15" s="45" t="s">
        <v>1073</v>
      </c>
      <c r="J15" s="12" t="s">
        <v>551</v>
      </c>
      <c r="K15" s="12"/>
    </row>
    <row r="16" spans="1:11" x14ac:dyDescent="0.2">
      <c r="A16" s="12" t="s">
        <v>552</v>
      </c>
      <c r="B16" s="22" t="s">
        <v>553</v>
      </c>
      <c r="C16" s="23">
        <v>47</v>
      </c>
      <c r="D16" s="23">
        <v>240</v>
      </c>
      <c r="E16" s="23"/>
      <c r="F16" s="22" t="s">
        <v>19</v>
      </c>
      <c r="G16" s="23"/>
      <c r="H16" s="23"/>
      <c r="I16" s="22" t="s">
        <v>79</v>
      </c>
      <c r="J16" s="12" t="s">
        <v>554</v>
      </c>
      <c r="K16" s="12"/>
    </row>
    <row r="17" spans="1:11" x14ac:dyDescent="0.2">
      <c r="A17" s="12"/>
      <c r="B17" s="23"/>
      <c r="C17" s="23"/>
      <c r="D17" s="23"/>
      <c r="E17" s="23"/>
      <c r="F17" s="23"/>
      <c r="G17" s="23"/>
      <c r="H17" s="23"/>
      <c r="I17" s="23"/>
      <c r="J17" s="12"/>
      <c r="K17" s="12"/>
    </row>
    <row r="18" spans="1:11" x14ac:dyDescent="0.2">
      <c r="A18" s="50" t="s">
        <v>555</v>
      </c>
      <c r="B18" s="22"/>
      <c r="C18" s="23"/>
      <c r="D18" s="23"/>
      <c r="E18" s="23"/>
      <c r="F18" s="23"/>
      <c r="G18" s="23"/>
      <c r="H18" s="22"/>
      <c r="I18" s="22"/>
      <c r="J18" s="12"/>
      <c r="K18" s="12"/>
    </row>
    <row r="19" spans="1:11" x14ac:dyDescent="0.2">
      <c r="A19" s="56" t="s">
        <v>556</v>
      </c>
      <c r="B19" s="38" t="s">
        <v>557</v>
      </c>
      <c r="C19" s="39">
        <v>47</v>
      </c>
      <c r="D19" s="39">
        <v>240</v>
      </c>
      <c r="E19" s="38" t="s">
        <v>558</v>
      </c>
      <c r="F19" s="38" t="s">
        <v>19</v>
      </c>
      <c r="G19" s="38"/>
      <c r="H19" s="38"/>
      <c r="I19" s="38"/>
      <c r="J19" s="56" t="s">
        <v>559</v>
      </c>
      <c r="K19" s="56" t="s">
        <v>560</v>
      </c>
    </row>
    <row r="20" spans="1:11" x14ac:dyDescent="0.2">
      <c r="A20" s="24" t="s">
        <v>561</v>
      </c>
      <c r="B20" s="22" t="s">
        <v>562</v>
      </c>
      <c r="C20" s="23">
        <v>47</v>
      </c>
      <c r="D20" s="23">
        <v>300</v>
      </c>
      <c r="E20" s="22" t="s">
        <v>563</v>
      </c>
      <c r="F20" s="22" t="s">
        <v>19</v>
      </c>
      <c r="G20" s="22"/>
      <c r="H20" s="22"/>
      <c r="I20" s="45" t="s">
        <v>1073</v>
      </c>
      <c r="J20" s="24" t="s">
        <v>564</v>
      </c>
      <c r="K20" s="24" t="s">
        <v>565</v>
      </c>
    </row>
    <row r="21" spans="1:11" x14ac:dyDescent="0.2">
      <c r="A21" s="12"/>
      <c r="B21" s="22"/>
      <c r="C21" s="23"/>
      <c r="D21" s="23"/>
      <c r="E21" s="23"/>
      <c r="F21" s="23"/>
      <c r="G21" s="23"/>
      <c r="H21" s="23"/>
      <c r="I21" s="23"/>
      <c r="J21" s="12"/>
      <c r="K21" s="12"/>
    </row>
    <row r="22" spans="1:11" x14ac:dyDescent="0.2">
      <c r="A22" s="57" t="s">
        <v>566</v>
      </c>
      <c r="B22" s="2"/>
      <c r="C22" s="1"/>
      <c r="D22" s="1"/>
      <c r="E22" s="1"/>
      <c r="F22" s="1"/>
      <c r="G22" s="1"/>
      <c r="H22" s="1"/>
      <c r="I22" s="1"/>
    </row>
    <row r="23" spans="1:11" x14ac:dyDescent="0.2">
      <c r="A23" s="12" t="s">
        <v>567</v>
      </c>
      <c r="B23" s="22" t="s">
        <v>568</v>
      </c>
      <c r="C23" s="23"/>
      <c r="D23" s="23">
        <v>2400</v>
      </c>
      <c r="E23" s="23"/>
      <c r="F23" s="23"/>
      <c r="G23" s="23"/>
      <c r="H23" s="58" t="s">
        <v>146</v>
      </c>
      <c r="I23" s="45" t="s">
        <v>1073</v>
      </c>
      <c r="J23" s="24" t="s">
        <v>569</v>
      </c>
      <c r="K23" s="12" t="s">
        <v>570</v>
      </c>
    </row>
    <row r="24" spans="1:11" x14ac:dyDescent="0.2">
      <c r="A24" s="12" t="s">
        <v>571</v>
      </c>
      <c r="B24" s="22" t="s">
        <v>568</v>
      </c>
      <c r="C24" s="23"/>
      <c r="D24" s="23">
        <v>2400</v>
      </c>
      <c r="E24" s="23"/>
      <c r="F24" s="23" t="s">
        <v>572</v>
      </c>
      <c r="G24" s="23"/>
      <c r="H24" s="59"/>
      <c r="I24" s="45" t="s">
        <v>1073</v>
      </c>
      <c r="J24" s="12" t="s">
        <v>569</v>
      </c>
      <c r="K24" s="12" t="s">
        <v>573</v>
      </c>
    </row>
    <row r="25" spans="1:11" x14ac:dyDescent="0.2">
      <c r="A25" s="12" t="s">
        <v>574</v>
      </c>
      <c r="B25" s="22" t="s">
        <v>568</v>
      </c>
      <c r="C25" s="23"/>
      <c r="D25" s="23">
        <v>3000</v>
      </c>
      <c r="E25" s="23"/>
      <c r="F25" s="23"/>
      <c r="G25" s="23"/>
      <c r="H25" s="23"/>
      <c r="I25" s="22" t="s">
        <v>1073</v>
      </c>
      <c r="J25" s="12" t="s">
        <v>575</v>
      </c>
      <c r="K25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8"/>
  <sheetViews>
    <sheetView workbookViewId="0">
      <selection activeCell="O17" sqref="O17"/>
    </sheetView>
  </sheetViews>
  <sheetFormatPr baseColWidth="10" defaultRowHeight="16" x14ac:dyDescent="0.2"/>
  <cols>
    <col min="1" max="1" width="20" bestFit="1" customWidth="1"/>
    <col min="2" max="2" width="9.33203125" bestFit="1" customWidth="1"/>
    <col min="3" max="3" width="18" bestFit="1" customWidth="1"/>
    <col min="4" max="4" width="44.1640625" bestFit="1" customWidth="1"/>
    <col min="5" max="5" width="20.33203125" bestFit="1" customWidth="1"/>
    <col min="6" max="6" width="19.83203125" bestFit="1" customWidth="1"/>
    <col min="7" max="7" width="19.33203125" bestFit="1" customWidth="1"/>
    <col min="8" max="8" width="13.33203125" bestFit="1" customWidth="1"/>
    <col min="9" max="9" width="14.6640625" bestFit="1" customWidth="1"/>
    <col min="10" max="10" width="17" bestFit="1" customWidth="1"/>
    <col min="11" max="11" width="39.6640625" bestFit="1" customWidth="1"/>
    <col min="12" max="12" width="39.1640625" bestFit="1" customWidth="1"/>
  </cols>
  <sheetData>
    <row r="1" spans="1:12" ht="17" customHeight="1" thickBot="1" x14ac:dyDescent="0.25">
      <c r="A1" s="13" t="s">
        <v>520</v>
      </c>
      <c r="B1" s="14" t="s">
        <v>576</v>
      </c>
      <c r="C1" s="14" t="s">
        <v>577</v>
      </c>
      <c r="D1" s="14" t="s">
        <v>578</v>
      </c>
      <c r="E1" s="14" t="s">
        <v>579</v>
      </c>
      <c r="F1" s="14" t="s">
        <v>580</v>
      </c>
      <c r="G1" s="14" t="s">
        <v>581</v>
      </c>
      <c r="H1" s="14" t="s">
        <v>582</v>
      </c>
      <c r="I1" s="14" t="s">
        <v>583</v>
      </c>
      <c r="J1" s="14" t="s">
        <v>584</v>
      </c>
      <c r="K1" s="14" t="s">
        <v>141</v>
      </c>
      <c r="L1" s="15" t="s">
        <v>9</v>
      </c>
    </row>
    <row r="2" spans="1:12" x14ac:dyDescent="0.2">
      <c r="A2" s="67" t="s">
        <v>585</v>
      </c>
      <c r="B2" s="35" t="s">
        <v>586</v>
      </c>
      <c r="C2" s="35">
        <v>5</v>
      </c>
      <c r="D2" s="35">
        <v>44</v>
      </c>
      <c r="E2" s="35">
        <v>40</v>
      </c>
      <c r="F2" s="35">
        <v>24</v>
      </c>
      <c r="G2" s="35"/>
      <c r="H2" s="35"/>
      <c r="I2" s="35" t="s">
        <v>79</v>
      </c>
      <c r="J2" s="35"/>
      <c r="K2" s="68" t="s">
        <v>587</v>
      </c>
      <c r="L2" s="69" t="s">
        <v>588</v>
      </c>
    </row>
    <row r="3" spans="1:12" x14ac:dyDescent="0.2">
      <c r="A3" s="67" t="s">
        <v>589</v>
      </c>
      <c r="B3" s="35" t="s">
        <v>586</v>
      </c>
      <c r="C3" s="35" t="s">
        <v>590</v>
      </c>
      <c r="D3" s="35">
        <v>44</v>
      </c>
      <c r="E3" s="35">
        <v>45</v>
      </c>
      <c r="F3" s="35">
        <v>17</v>
      </c>
      <c r="G3" s="35"/>
      <c r="H3" s="70" t="s">
        <v>591</v>
      </c>
      <c r="I3" s="35" t="s">
        <v>592</v>
      </c>
      <c r="J3" s="35"/>
      <c r="K3" s="68" t="s">
        <v>593</v>
      </c>
      <c r="L3" s="69" t="s">
        <v>594</v>
      </c>
    </row>
    <row r="4" spans="1:12" x14ac:dyDescent="0.2">
      <c r="A4" s="67" t="s">
        <v>595</v>
      </c>
      <c r="B4" s="35" t="s">
        <v>586</v>
      </c>
      <c r="C4" s="35" t="s">
        <v>590</v>
      </c>
      <c r="D4" s="35">
        <v>44</v>
      </c>
      <c r="E4" s="35">
        <v>45</v>
      </c>
      <c r="F4" s="35">
        <v>17</v>
      </c>
      <c r="G4" s="35"/>
      <c r="H4" s="70" t="s">
        <v>591</v>
      </c>
      <c r="I4" s="35" t="s">
        <v>592</v>
      </c>
      <c r="J4" s="35" t="s">
        <v>596</v>
      </c>
      <c r="K4" s="68" t="s">
        <v>593</v>
      </c>
      <c r="L4" s="69" t="s">
        <v>597</v>
      </c>
    </row>
    <row r="5" spans="1:12" x14ac:dyDescent="0.2">
      <c r="A5" s="67" t="s">
        <v>598</v>
      </c>
      <c r="B5" s="35" t="s">
        <v>586</v>
      </c>
      <c r="C5" s="35" t="s">
        <v>590</v>
      </c>
      <c r="D5" s="35">
        <v>44</v>
      </c>
      <c r="E5" s="35">
        <v>45</v>
      </c>
      <c r="F5" s="35"/>
      <c r="G5" s="35"/>
      <c r="H5" s="70" t="s">
        <v>591</v>
      </c>
      <c r="I5" s="35" t="s">
        <v>592</v>
      </c>
      <c r="J5" s="35"/>
      <c r="K5" s="68" t="s">
        <v>599</v>
      </c>
      <c r="L5" s="69" t="s">
        <v>600</v>
      </c>
    </row>
    <row r="6" spans="1:12" x14ac:dyDescent="0.2">
      <c r="A6" s="67" t="s">
        <v>601</v>
      </c>
      <c r="B6" s="35" t="s">
        <v>586</v>
      </c>
      <c r="C6" s="35" t="s">
        <v>590</v>
      </c>
      <c r="D6" s="35">
        <v>44</v>
      </c>
      <c r="E6" s="35">
        <v>50</v>
      </c>
      <c r="F6" s="35">
        <v>24</v>
      </c>
      <c r="G6" s="35"/>
      <c r="H6" s="70" t="s">
        <v>591</v>
      </c>
      <c r="I6" s="35"/>
      <c r="J6" s="35" t="s">
        <v>196</v>
      </c>
      <c r="K6" s="68" t="s">
        <v>602</v>
      </c>
      <c r="L6" s="69" t="s">
        <v>603</v>
      </c>
    </row>
    <row r="7" spans="1:12" x14ac:dyDescent="0.2">
      <c r="A7" s="67" t="s">
        <v>604</v>
      </c>
      <c r="B7" s="35" t="s">
        <v>586</v>
      </c>
      <c r="C7" s="35" t="s">
        <v>590</v>
      </c>
      <c r="D7" s="35">
        <v>44</v>
      </c>
      <c r="E7" s="35">
        <v>6</v>
      </c>
      <c r="F7" s="35">
        <v>17</v>
      </c>
      <c r="G7" s="35"/>
      <c r="H7" s="70" t="s">
        <v>591</v>
      </c>
      <c r="I7" s="35" t="s">
        <v>592</v>
      </c>
      <c r="J7" s="35"/>
      <c r="K7" s="68" t="s">
        <v>605</v>
      </c>
      <c r="L7" s="69" t="s">
        <v>606</v>
      </c>
    </row>
    <row r="8" spans="1:12" x14ac:dyDescent="0.2">
      <c r="A8" s="67"/>
      <c r="B8" s="35"/>
      <c r="C8" s="35"/>
      <c r="D8" s="35"/>
      <c r="E8" s="35"/>
      <c r="F8" s="35"/>
      <c r="G8" s="35"/>
      <c r="H8" s="70"/>
      <c r="I8" s="35"/>
      <c r="J8" s="35"/>
      <c r="K8" s="68"/>
      <c r="L8" s="69"/>
    </row>
    <row r="9" spans="1:12" x14ac:dyDescent="0.2">
      <c r="A9" s="71" t="s">
        <v>607</v>
      </c>
      <c r="B9" s="72"/>
      <c r="C9" s="35"/>
      <c r="D9" s="35"/>
      <c r="E9" s="35"/>
      <c r="F9" s="35"/>
      <c r="G9" s="35"/>
      <c r="H9" s="35"/>
      <c r="I9" s="35"/>
      <c r="J9" s="35"/>
      <c r="K9" s="68"/>
      <c r="L9" s="68"/>
    </row>
    <row r="10" spans="1:12" x14ac:dyDescent="0.2">
      <c r="A10" s="73" t="s">
        <v>608</v>
      </c>
      <c r="B10" s="35" t="s">
        <v>609</v>
      </c>
      <c r="C10" s="35">
        <v>45</v>
      </c>
      <c r="D10" s="35"/>
      <c r="E10" s="35">
        <v>48</v>
      </c>
      <c r="F10" s="35">
        <v>12</v>
      </c>
      <c r="G10" s="35">
        <v>1010</v>
      </c>
      <c r="H10" s="35"/>
      <c r="I10" s="35"/>
      <c r="J10" s="35"/>
      <c r="K10" s="74" t="s">
        <v>610</v>
      </c>
      <c r="L10" s="68" t="s">
        <v>611</v>
      </c>
    </row>
    <row r="11" spans="1:12" x14ac:dyDescent="0.2">
      <c r="A11" s="73" t="s">
        <v>612</v>
      </c>
      <c r="B11" s="35" t="s">
        <v>609</v>
      </c>
      <c r="C11" s="35">
        <v>45</v>
      </c>
      <c r="D11" s="35"/>
      <c r="E11" s="35">
        <v>51</v>
      </c>
      <c r="F11" s="35">
        <v>175</v>
      </c>
      <c r="G11" s="35">
        <v>1515</v>
      </c>
      <c r="H11" s="35"/>
      <c r="I11" s="35"/>
      <c r="J11" s="35"/>
      <c r="K11" s="74" t="s">
        <v>613</v>
      </c>
      <c r="L11" s="68" t="s">
        <v>614</v>
      </c>
    </row>
    <row r="12" spans="1:12" x14ac:dyDescent="0.2">
      <c r="A12" s="73" t="s">
        <v>615</v>
      </c>
      <c r="B12" s="35" t="s">
        <v>609</v>
      </c>
      <c r="C12" s="35">
        <v>456</v>
      </c>
      <c r="D12" s="35">
        <v>44</v>
      </c>
      <c r="E12" s="35">
        <v>50</v>
      </c>
      <c r="F12" s="35">
        <v>2050</v>
      </c>
      <c r="G12" s="35"/>
      <c r="H12" s="35"/>
      <c r="I12" s="35"/>
      <c r="J12" s="35"/>
      <c r="K12" s="74" t="s">
        <v>616</v>
      </c>
      <c r="L12" s="68" t="s">
        <v>617</v>
      </c>
    </row>
    <row r="13" spans="1:12" x14ac:dyDescent="0.2">
      <c r="A13" s="73" t="s">
        <v>618</v>
      </c>
      <c r="B13" s="35" t="s">
        <v>609</v>
      </c>
      <c r="C13" s="35"/>
      <c r="D13" s="35"/>
      <c r="E13" s="35">
        <v>46</v>
      </c>
      <c r="F13" s="35">
        <v>13</v>
      </c>
      <c r="G13" s="35"/>
      <c r="H13" s="35"/>
      <c r="I13" s="35"/>
      <c r="J13" s="35" t="s">
        <v>619</v>
      </c>
      <c r="K13" s="74" t="s">
        <v>620</v>
      </c>
      <c r="L13" s="68" t="s">
        <v>621</v>
      </c>
    </row>
    <row r="14" spans="1:12" x14ac:dyDescent="0.2">
      <c r="A14" s="67" t="s">
        <v>622</v>
      </c>
      <c r="B14" s="35" t="s">
        <v>609</v>
      </c>
      <c r="C14" s="35">
        <v>5</v>
      </c>
      <c r="D14" s="35"/>
      <c r="E14" s="35">
        <v>48</v>
      </c>
      <c r="F14" s="35">
        <v>162</v>
      </c>
      <c r="G14" s="35"/>
      <c r="H14" s="35"/>
      <c r="I14" s="35"/>
      <c r="J14" s="35" t="s">
        <v>619</v>
      </c>
      <c r="K14" s="68" t="s">
        <v>623</v>
      </c>
      <c r="L14" s="68" t="s">
        <v>624</v>
      </c>
    </row>
    <row r="15" spans="1:12" x14ac:dyDescent="0.2">
      <c r="A15" s="73" t="s">
        <v>625</v>
      </c>
      <c r="B15" s="35" t="s">
        <v>609</v>
      </c>
      <c r="C15" s="35">
        <v>5</v>
      </c>
      <c r="D15" s="35"/>
      <c r="E15" s="35">
        <v>50</v>
      </c>
      <c r="F15" s="35">
        <v>12</v>
      </c>
      <c r="G15" s="35">
        <v>1010</v>
      </c>
      <c r="H15" s="35"/>
      <c r="I15" s="35"/>
      <c r="J15" s="35"/>
      <c r="K15" s="74" t="s">
        <v>626</v>
      </c>
      <c r="L15" s="68" t="s">
        <v>627</v>
      </c>
    </row>
    <row r="16" spans="1:12" x14ac:dyDescent="0.2">
      <c r="A16" s="73" t="s">
        <v>628</v>
      </c>
      <c r="B16" s="35" t="s">
        <v>609</v>
      </c>
      <c r="C16" s="35">
        <v>571</v>
      </c>
      <c r="D16" s="35">
        <v>44</v>
      </c>
      <c r="E16" s="35">
        <v>14</v>
      </c>
      <c r="F16" s="35">
        <v>46</v>
      </c>
      <c r="G16" s="35"/>
      <c r="H16" s="35"/>
      <c r="I16" s="35"/>
      <c r="J16" s="35"/>
      <c r="K16" s="74" t="s">
        <v>629</v>
      </c>
      <c r="L16" s="68" t="s">
        <v>630</v>
      </c>
    </row>
    <row r="17" spans="1:12" x14ac:dyDescent="0.2">
      <c r="A17" s="67"/>
      <c r="B17" s="35"/>
      <c r="C17" s="35"/>
      <c r="D17" s="35"/>
      <c r="E17" s="35"/>
      <c r="F17" s="35"/>
      <c r="G17" s="35"/>
      <c r="H17" s="35"/>
      <c r="I17" s="35"/>
      <c r="J17" s="35"/>
      <c r="K17" s="68"/>
      <c r="L17" s="68"/>
    </row>
    <row r="18" spans="1:12" x14ac:dyDescent="0.2">
      <c r="A18" s="75" t="s">
        <v>631</v>
      </c>
      <c r="B18" s="35"/>
      <c r="C18" s="35"/>
      <c r="D18" s="35"/>
      <c r="E18" s="35"/>
      <c r="F18" s="35"/>
      <c r="G18" s="35"/>
      <c r="H18" s="35"/>
      <c r="I18" s="35"/>
      <c r="J18" s="35"/>
      <c r="K18" s="68"/>
      <c r="L18" s="68"/>
    </row>
    <row r="19" spans="1:12" x14ac:dyDescent="0.2">
      <c r="A19" s="67" t="s">
        <v>632</v>
      </c>
      <c r="B19" s="35" t="s">
        <v>633</v>
      </c>
      <c r="C19" s="35">
        <v>3</v>
      </c>
      <c r="D19" s="35">
        <v>44</v>
      </c>
      <c r="E19" s="35">
        <v>24</v>
      </c>
      <c r="F19" s="35">
        <v>17</v>
      </c>
      <c r="G19" s="35"/>
      <c r="H19" s="35" t="s">
        <v>634</v>
      </c>
      <c r="I19" s="35"/>
      <c r="J19" s="35"/>
      <c r="K19" s="68" t="s">
        <v>635</v>
      </c>
      <c r="L19" s="68" t="s">
        <v>636</v>
      </c>
    </row>
    <row r="20" spans="1:12" x14ac:dyDescent="0.2">
      <c r="A20" s="67"/>
      <c r="B20" s="35"/>
      <c r="C20" s="35"/>
      <c r="D20" s="35"/>
      <c r="E20" s="35"/>
      <c r="F20" s="35"/>
      <c r="G20" s="35"/>
      <c r="H20" s="35"/>
      <c r="I20" s="35"/>
      <c r="J20" s="35"/>
      <c r="K20" s="68"/>
      <c r="L20" s="68"/>
    </row>
    <row r="21" spans="1:12" x14ac:dyDescent="0.2">
      <c r="A21" s="75" t="s">
        <v>637</v>
      </c>
      <c r="B21" s="35"/>
      <c r="C21" s="35"/>
      <c r="D21" s="35"/>
      <c r="E21" s="35"/>
      <c r="F21" s="35"/>
      <c r="G21" s="35"/>
      <c r="H21" s="35"/>
      <c r="I21" s="35"/>
      <c r="J21" s="35"/>
      <c r="K21" s="68"/>
      <c r="L21" s="68"/>
    </row>
    <row r="22" spans="1:12" x14ac:dyDescent="0.2">
      <c r="A22" s="67" t="s">
        <v>638</v>
      </c>
      <c r="B22" s="35" t="s">
        <v>639</v>
      </c>
      <c r="C22" s="35">
        <v>45</v>
      </c>
      <c r="D22" s="35">
        <v>44</v>
      </c>
      <c r="E22" s="35">
        <v>50</v>
      </c>
      <c r="F22" s="35">
        <v>25</v>
      </c>
      <c r="G22" s="35"/>
      <c r="H22" s="35"/>
      <c r="I22" s="35"/>
      <c r="J22" s="35"/>
      <c r="K22" s="68" t="s">
        <v>640</v>
      </c>
      <c r="L22" s="68" t="s">
        <v>641</v>
      </c>
    </row>
    <row r="23" spans="1:12" x14ac:dyDescent="0.2">
      <c r="A23" s="67" t="s">
        <v>642</v>
      </c>
      <c r="B23" s="35" t="s">
        <v>639</v>
      </c>
      <c r="C23" s="35">
        <v>5</v>
      </c>
      <c r="D23" s="35">
        <v>23</v>
      </c>
      <c r="E23" s="35">
        <v>48</v>
      </c>
      <c r="F23" s="35">
        <v>25</v>
      </c>
      <c r="G23" s="35"/>
      <c r="H23" s="35"/>
      <c r="I23" s="35"/>
      <c r="J23" s="35"/>
      <c r="K23" s="68" t="s">
        <v>643</v>
      </c>
      <c r="L23" s="68" t="s">
        <v>644</v>
      </c>
    </row>
    <row r="24" spans="1:12" x14ac:dyDescent="0.2">
      <c r="A24" s="67" t="s">
        <v>645</v>
      </c>
      <c r="B24" s="35" t="s">
        <v>639</v>
      </c>
      <c r="C24" s="35">
        <v>88</v>
      </c>
      <c r="D24" s="35"/>
      <c r="E24" s="35">
        <v>40</v>
      </c>
      <c r="F24" s="35">
        <v>30</v>
      </c>
      <c r="G24" s="35"/>
      <c r="H24" s="35"/>
      <c r="I24" s="35"/>
      <c r="J24" s="35"/>
      <c r="K24" s="68" t="s">
        <v>646</v>
      </c>
      <c r="L24" s="68" t="s">
        <v>647</v>
      </c>
    </row>
    <row r="25" spans="1:12" x14ac:dyDescent="0.2">
      <c r="A25" s="67"/>
      <c r="B25" s="35"/>
      <c r="C25" s="35"/>
      <c r="D25" s="35"/>
      <c r="E25" s="35"/>
      <c r="F25" s="35"/>
      <c r="G25" s="35"/>
      <c r="H25" s="35"/>
      <c r="I25" s="35"/>
      <c r="J25" s="35"/>
      <c r="K25" s="68"/>
      <c r="L25" s="68"/>
    </row>
    <row r="26" spans="1:12" x14ac:dyDescent="0.2">
      <c r="A26" s="75" t="s">
        <v>648</v>
      </c>
      <c r="B26" s="35"/>
      <c r="C26" s="35"/>
      <c r="D26" s="35"/>
      <c r="E26" s="35"/>
      <c r="F26" s="35"/>
      <c r="G26" s="35"/>
      <c r="H26" s="35"/>
      <c r="I26" s="35"/>
      <c r="J26" s="35"/>
      <c r="K26" s="68"/>
      <c r="L26" s="68"/>
    </row>
    <row r="27" spans="1:12" x14ac:dyDescent="0.2">
      <c r="A27" s="67" t="s">
        <v>649</v>
      </c>
      <c r="B27" s="35" t="s">
        <v>650</v>
      </c>
      <c r="C27" s="35" t="s">
        <v>590</v>
      </c>
      <c r="D27" s="35">
        <v>44</v>
      </c>
      <c r="E27" s="35">
        <v>30</v>
      </c>
      <c r="F27" s="35">
        <v>3</v>
      </c>
      <c r="G27" s="35"/>
      <c r="H27" s="35"/>
      <c r="I27" s="35"/>
      <c r="J27" s="35" t="s">
        <v>592</v>
      </c>
      <c r="K27" s="68" t="s">
        <v>651</v>
      </c>
      <c r="L27" s="68" t="s">
        <v>652</v>
      </c>
    </row>
    <row r="28" spans="1:12" x14ac:dyDescent="0.2">
      <c r="A28" s="67" t="s">
        <v>653</v>
      </c>
      <c r="B28" s="35" t="s">
        <v>650</v>
      </c>
      <c r="C28" s="35" t="s">
        <v>590</v>
      </c>
      <c r="D28" s="35">
        <v>44</v>
      </c>
      <c r="E28" s="35">
        <v>60</v>
      </c>
      <c r="F28" s="35">
        <v>3</v>
      </c>
      <c r="G28" s="35"/>
      <c r="H28" s="35"/>
      <c r="I28" s="35"/>
      <c r="J28" s="35" t="s">
        <v>592</v>
      </c>
      <c r="K28" s="68" t="s">
        <v>654</v>
      </c>
      <c r="L28" s="68" t="s">
        <v>652</v>
      </c>
    </row>
    <row r="29" spans="1:12" x14ac:dyDescent="0.2">
      <c r="A29" s="67" t="s">
        <v>655</v>
      </c>
      <c r="B29" s="35" t="s">
        <v>650</v>
      </c>
      <c r="C29" s="35">
        <v>8</v>
      </c>
      <c r="D29" s="35">
        <v>44</v>
      </c>
      <c r="E29" s="35">
        <v>30</v>
      </c>
      <c r="F29" s="35">
        <v>3</v>
      </c>
      <c r="G29" s="35"/>
      <c r="H29" s="35"/>
      <c r="I29" s="35"/>
      <c r="J29" s="35" t="s">
        <v>592</v>
      </c>
      <c r="K29" s="68" t="s">
        <v>656</v>
      </c>
      <c r="L29" s="68" t="s">
        <v>657</v>
      </c>
    </row>
    <row r="30" spans="1:12" x14ac:dyDescent="0.2">
      <c r="A30" s="67" t="s">
        <v>658</v>
      </c>
      <c r="B30" s="35" t="s">
        <v>650</v>
      </c>
      <c r="C30" s="35">
        <v>8</v>
      </c>
      <c r="D30" s="35">
        <v>44</v>
      </c>
      <c r="E30" s="35">
        <v>30</v>
      </c>
      <c r="F30" s="35">
        <v>4</v>
      </c>
      <c r="G30" s="35"/>
      <c r="H30" s="35"/>
      <c r="I30" s="35"/>
      <c r="J30" s="35" t="s">
        <v>79</v>
      </c>
      <c r="K30" s="68" t="s">
        <v>659</v>
      </c>
      <c r="L30" s="68" t="s">
        <v>660</v>
      </c>
    </row>
    <row r="31" spans="1:12" x14ac:dyDescent="0.2">
      <c r="A31" s="67" t="s">
        <v>661</v>
      </c>
      <c r="B31" s="35" t="s">
        <v>650</v>
      </c>
      <c r="C31" s="35">
        <v>8</v>
      </c>
      <c r="D31" s="35">
        <v>44</v>
      </c>
      <c r="E31" s="35">
        <v>50</v>
      </c>
      <c r="F31" s="35">
        <v>4</v>
      </c>
      <c r="G31" s="35"/>
      <c r="H31" s="35"/>
      <c r="I31" s="35"/>
      <c r="J31" s="35" t="s">
        <v>79</v>
      </c>
      <c r="K31" s="68" t="s">
        <v>662</v>
      </c>
      <c r="L31" s="68" t="s">
        <v>660</v>
      </c>
    </row>
    <row r="32" spans="1:12" x14ac:dyDescent="0.2">
      <c r="A32" s="67"/>
      <c r="B32" s="35"/>
      <c r="C32" s="35"/>
      <c r="D32" s="35"/>
      <c r="E32" s="35"/>
      <c r="F32" s="35"/>
      <c r="G32" s="35"/>
      <c r="H32" s="35"/>
      <c r="I32" s="35"/>
      <c r="J32" s="35"/>
      <c r="K32" s="68"/>
      <c r="L32" s="68"/>
    </row>
    <row r="33" spans="1:12" x14ac:dyDescent="0.2">
      <c r="A33" s="75" t="s">
        <v>663</v>
      </c>
      <c r="B33" s="35"/>
      <c r="C33" s="35"/>
      <c r="D33" s="35"/>
      <c r="E33" s="35"/>
      <c r="F33" s="35"/>
      <c r="G33" s="35"/>
      <c r="H33" s="35"/>
      <c r="I33" s="35"/>
      <c r="J33" s="35"/>
      <c r="K33" s="68"/>
      <c r="L33" s="68"/>
    </row>
    <row r="34" spans="1:12" x14ac:dyDescent="0.2">
      <c r="A34" s="67" t="s">
        <v>664</v>
      </c>
      <c r="B34" s="35" t="s">
        <v>665</v>
      </c>
      <c r="C34" s="35"/>
      <c r="D34" s="35"/>
      <c r="E34" s="35">
        <v>10</v>
      </c>
      <c r="F34" s="35">
        <v>20</v>
      </c>
      <c r="G34" s="35"/>
      <c r="H34" s="35"/>
      <c r="I34" s="35"/>
      <c r="J34" s="35" t="s">
        <v>619</v>
      </c>
      <c r="K34" s="68" t="s">
        <v>666</v>
      </c>
      <c r="L34" s="68" t="s">
        <v>667</v>
      </c>
    </row>
    <row r="35" spans="1:12" x14ac:dyDescent="0.2">
      <c r="A35" s="67" t="s">
        <v>668</v>
      </c>
      <c r="B35" s="35" t="s">
        <v>665</v>
      </c>
      <c r="C35" s="35"/>
      <c r="D35" s="35"/>
      <c r="E35" s="35">
        <v>10</v>
      </c>
      <c r="F35" s="35">
        <v>24</v>
      </c>
      <c r="G35" s="35"/>
      <c r="H35" s="35"/>
      <c r="I35" s="35" t="s">
        <v>669</v>
      </c>
      <c r="J35" s="35"/>
      <c r="K35" s="68" t="s">
        <v>670</v>
      </c>
      <c r="L35" s="68" t="s">
        <v>671</v>
      </c>
    </row>
    <row r="36" spans="1:12" x14ac:dyDescent="0.2">
      <c r="A36" s="67" t="s">
        <v>672</v>
      </c>
      <c r="B36" s="35" t="s">
        <v>665</v>
      </c>
      <c r="C36" s="35"/>
      <c r="D36" s="35"/>
      <c r="E36" s="35">
        <v>15</v>
      </c>
      <c r="F36" s="35">
        <v>40</v>
      </c>
      <c r="G36" s="35"/>
      <c r="H36" s="35"/>
      <c r="I36" s="35"/>
      <c r="J36" s="35" t="s">
        <v>592</v>
      </c>
      <c r="K36" s="68" t="s">
        <v>673</v>
      </c>
      <c r="L36" s="68" t="s">
        <v>674</v>
      </c>
    </row>
    <row r="37" spans="1:12" x14ac:dyDescent="0.2">
      <c r="A37" s="67" t="s">
        <v>675</v>
      </c>
      <c r="B37" s="35" t="s">
        <v>665</v>
      </c>
      <c r="C37" s="35"/>
      <c r="D37" s="35"/>
      <c r="E37" s="35">
        <v>20</v>
      </c>
      <c r="F37" s="35">
        <v>12</v>
      </c>
      <c r="G37" s="35"/>
      <c r="H37" s="35"/>
      <c r="I37" s="35"/>
      <c r="J37" s="35" t="s">
        <v>619</v>
      </c>
      <c r="K37" s="68" t="s">
        <v>676</v>
      </c>
      <c r="L37" s="68" t="s">
        <v>667</v>
      </c>
    </row>
    <row r="38" spans="1:12" x14ac:dyDescent="0.2">
      <c r="A38" s="76" t="s">
        <v>677</v>
      </c>
      <c r="B38" s="77" t="s">
        <v>665</v>
      </c>
      <c r="C38" s="77"/>
      <c r="D38" s="77"/>
      <c r="E38" s="77">
        <v>20</v>
      </c>
      <c r="F38" s="77">
        <v>40</v>
      </c>
      <c r="G38" s="77"/>
      <c r="H38" s="77"/>
      <c r="I38" s="77"/>
      <c r="J38" s="77"/>
      <c r="K38" s="78" t="s">
        <v>678</v>
      </c>
      <c r="L38" s="78" t="s">
        <v>674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1"/>
  <sheetViews>
    <sheetView workbookViewId="0">
      <selection activeCell="C33" sqref="C33"/>
    </sheetView>
  </sheetViews>
  <sheetFormatPr baseColWidth="10" defaultRowHeight="16" x14ac:dyDescent="0.2"/>
  <cols>
    <col min="1" max="1" width="17.33203125" bestFit="1" customWidth="1"/>
    <col min="3" max="3" width="71.33203125" bestFit="1" customWidth="1"/>
    <col min="6" max="6" width="30.6640625" bestFit="1" customWidth="1"/>
    <col min="7" max="7" width="27.1640625" bestFit="1" customWidth="1"/>
  </cols>
  <sheetData>
    <row r="1" spans="1:7" ht="17" customHeight="1" thickBot="1" x14ac:dyDescent="0.25">
      <c r="A1" s="13" t="s">
        <v>679</v>
      </c>
      <c r="B1" s="14" t="s">
        <v>680</v>
      </c>
      <c r="C1" s="14" t="s">
        <v>681</v>
      </c>
      <c r="D1" s="14" t="s">
        <v>682</v>
      </c>
      <c r="E1" s="14" t="s">
        <v>3</v>
      </c>
      <c r="F1" s="14" t="s">
        <v>141</v>
      </c>
      <c r="G1" s="15" t="s">
        <v>9</v>
      </c>
    </row>
    <row r="2" spans="1:7" x14ac:dyDescent="0.2">
      <c r="A2" s="56" t="s">
        <v>683</v>
      </c>
      <c r="B2" s="38" t="s">
        <v>680</v>
      </c>
      <c r="C2" s="38" t="s">
        <v>684</v>
      </c>
      <c r="D2" s="38" t="s">
        <v>685</v>
      </c>
      <c r="E2" s="80" t="s">
        <v>686</v>
      </c>
      <c r="F2" s="81" t="s">
        <v>687</v>
      </c>
      <c r="G2" s="81"/>
    </row>
    <row r="3" spans="1:7" x14ac:dyDescent="0.2">
      <c r="A3" s="12" t="s">
        <v>688</v>
      </c>
      <c r="B3" s="22" t="s">
        <v>680</v>
      </c>
      <c r="C3" s="22" t="s">
        <v>684</v>
      </c>
      <c r="D3" s="22" t="s">
        <v>689</v>
      </c>
      <c r="E3" s="52" t="s">
        <v>686</v>
      </c>
      <c r="F3" s="79" t="s">
        <v>690</v>
      </c>
      <c r="G3" s="79" t="s">
        <v>691</v>
      </c>
    </row>
    <row r="4" spans="1:7" x14ac:dyDescent="0.2">
      <c r="A4" s="12" t="s">
        <v>692</v>
      </c>
      <c r="B4" s="22" t="s">
        <v>680</v>
      </c>
      <c r="C4" s="22" t="s">
        <v>693</v>
      </c>
      <c r="D4" s="22" t="s">
        <v>694</v>
      </c>
      <c r="E4" s="52" t="s">
        <v>695</v>
      </c>
      <c r="F4" s="79" t="s">
        <v>696</v>
      </c>
      <c r="G4" s="79" t="s">
        <v>697</v>
      </c>
    </row>
    <row r="5" spans="1:7" x14ac:dyDescent="0.2">
      <c r="A5" s="12" t="s">
        <v>698</v>
      </c>
      <c r="B5" s="22" t="s">
        <v>680</v>
      </c>
      <c r="C5" s="22" t="s">
        <v>693</v>
      </c>
      <c r="D5" s="22" t="s">
        <v>694</v>
      </c>
      <c r="E5" s="52" t="s">
        <v>699</v>
      </c>
      <c r="F5" s="79" t="s">
        <v>700</v>
      </c>
      <c r="G5" s="79" t="s">
        <v>697</v>
      </c>
    </row>
    <row r="6" spans="1:7" x14ac:dyDescent="0.2">
      <c r="A6" s="12" t="s">
        <v>701</v>
      </c>
      <c r="B6" s="22" t="s">
        <v>680</v>
      </c>
      <c r="C6" s="22" t="s">
        <v>693</v>
      </c>
      <c r="D6" s="22" t="s">
        <v>694</v>
      </c>
      <c r="E6" s="52" t="s">
        <v>702</v>
      </c>
      <c r="F6" s="79" t="s">
        <v>703</v>
      </c>
      <c r="G6" s="79" t="s">
        <v>697</v>
      </c>
    </row>
    <row r="7" spans="1:7" x14ac:dyDescent="0.2">
      <c r="A7" s="12" t="s">
        <v>704</v>
      </c>
      <c r="B7" s="22" t="s">
        <v>680</v>
      </c>
      <c r="C7" s="22" t="s">
        <v>705</v>
      </c>
      <c r="D7" s="22" t="s">
        <v>706</v>
      </c>
      <c r="E7" s="52" t="s">
        <v>702</v>
      </c>
      <c r="F7" s="79" t="s">
        <v>707</v>
      </c>
      <c r="G7" s="79" t="s">
        <v>708</v>
      </c>
    </row>
    <row r="8" spans="1:7" x14ac:dyDescent="0.2">
      <c r="A8" s="12" t="s">
        <v>709</v>
      </c>
      <c r="B8" s="22" t="s">
        <v>680</v>
      </c>
      <c r="C8" s="22" t="s">
        <v>710</v>
      </c>
      <c r="D8" s="22" t="s">
        <v>694</v>
      </c>
      <c r="E8" s="52" t="s">
        <v>711</v>
      </c>
      <c r="F8" s="79" t="s">
        <v>712</v>
      </c>
      <c r="G8" s="79" t="s">
        <v>713</v>
      </c>
    </row>
    <row r="9" spans="1:7" x14ac:dyDescent="0.2">
      <c r="A9" s="12" t="s">
        <v>714</v>
      </c>
      <c r="B9" s="22" t="s">
        <v>680</v>
      </c>
      <c r="C9" s="22" t="s">
        <v>710</v>
      </c>
      <c r="D9" s="22" t="s">
        <v>694</v>
      </c>
      <c r="E9" s="52" t="s">
        <v>702</v>
      </c>
      <c r="F9" s="79" t="s">
        <v>715</v>
      </c>
      <c r="G9" s="79" t="s">
        <v>713</v>
      </c>
    </row>
    <row r="10" spans="1:7" x14ac:dyDescent="0.2">
      <c r="A10" s="12" t="s">
        <v>716</v>
      </c>
      <c r="B10" s="22" t="s">
        <v>680</v>
      </c>
      <c r="C10" s="22" t="s">
        <v>710</v>
      </c>
      <c r="D10" s="22" t="s">
        <v>694</v>
      </c>
      <c r="E10" s="52" t="s">
        <v>717</v>
      </c>
      <c r="F10" s="79" t="s">
        <v>718</v>
      </c>
      <c r="G10" s="79" t="s">
        <v>713</v>
      </c>
    </row>
    <row r="11" spans="1:7" x14ac:dyDescent="0.2">
      <c r="A11" s="12" t="s">
        <v>719</v>
      </c>
      <c r="B11" s="22" t="s">
        <v>680</v>
      </c>
      <c r="C11" s="22" t="s">
        <v>710</v>
      </c>
      <c r="D11" s="22" t="s">
        <v>694</v>
      </c>
      <c r="E11" s="52" t="s">
        <v>720</v>
      </c>
      <c r="F11" s="79" t="s">
        <v>721</v>
      </c>
      <c r="G11" s="79" t="s">
        <v>713</v>
      </c>
    </row>
    <row r="12" spans="1:7" x14ac:dyDescent="0.2">
      <c r="A12" s="12" t="s">
        <v>722</v>
      </c>
      <c r="B12" s="22" t="s">
        <v>680</v>
      </c>
      <c r="C12" s="22" t="s">
        <v>710</v>
      </c>
      <c r="D12" s="22" t="s">
        <v>694</v>
      </c>
      <c r="E12" s="52" t="s">
        <v>723</v>
      </c>
      <c r="F12" s="79" t="s">
        <v>724</v>
      </c>
      <c r="G12" s="79" t="s">
        <v>713</v>
      </c>
    </row>
    <row r="13" spans="1:7" x14ac:dyDescent="0.2">
      <c r="A13" s="12" t="s">
        <v>725</v>
      </c>
      <c r="B13" s="22" t="s">
        <v>680</v>
      </c>
      <c r="C13" s="22" t="s">
        <v>710</v>
      </c>
      <c r="D13" s="22" t="s">
        <v>694</v>
      </c>
      <c r="E13" s="52" t="s">
        <v>726</v>
      </c>
      <c r="F13" s="79" t="s">
        <v>727</v>
      </c>
      <c r="G13" s="79" t="s">
        <v>713</v>
      </c>
    </row>
    <row r="14" spans="1:7" x14ac:dyDescent="0.2">
      <c r="A14" s="12" t="s">
        <v>728</v>
      </c>
      <c r="B14" s="22" t="s">
        <v>680</v>
      </c>
      <c r="C14" s="22" t="s">
        <v>710</v>
      </c>
      <c r="D14" s="22" t="s">
        <v>694</v>
      </c>
      <c r="E14" s="52" t="s">
        <v>729</v>
      </c>
      <c r="F14" s="79" t="s">
        <v>730</v>
      </c>
      <c r="G14" s="79" t="s">
        <v>713</v>
      </c>
    </row>
    <row r="15" spans="1:7" x14ac:dyDescent="0.2">
      <c r="A15" s="12" t="s">
        <v>731</v>
      </c>
      <c r="B15" s="22" t="s">
        <v>680</v>
      </c>
      <c r="C15" s="22" t="s">
        <v>710</v>
      </c>
      <c r="D15" s="22" t="s">
        <v>694</v>
      </c>
      <c r="E15" s="23">
        <v>1000</v>
      </c>
      <c r="F15" s="79" t="s">
        <v>732</v>
      </c>
      <c r="G15" s="79" t="s">
        <v>713</v>
      </c>
    </row>
    <row r="16" spans="1:7" x14ac:dyDescent="0.2">
      <c r="A16" s="12" t="s">
        <v>733</v>
      </c>
      <c r="B16" s="22" t="s">
        <v>680</v>
      </c>
      <c r="C16" s="22" t="s">
        <v>710</v>
      </c>
      <c r="D16" s="22" t="s">
        <v>734</v>
      </c>
      <c r="E16" s="52" t="s">
        <v>735</v>
      </c>
      <c r="F16" s="79" t="s">
        <v>736</v>
      </c>
      <c r="G16" s="79" t="s">
        <v>737</v>
      </c>
    </row>
    <row r="17" spans="1:7" x14ac:dyDescent="0.2">
      <c r="A17" s="12" t="s">
        <v>738</v>
      </c>
      <c r="B17" s="22" t="s">
        <v>680</v>
      </c>
      <c r="C17" s="22" t="s">
        <v>710</v>
      </c>
      <c r="D17" s="22" t="s">
        <v>739</v>
      </c>
      <c r="E17" s="52" t="s">
        <v>740</v>
      </c>
      <c r="F17" s="79" t="s">
        <v>741</v>
      </c>
      <c r="G17" s="79" t="s">
        <v>742</v>
      </c>
    </row>
    <row r="18" spans="1:7" x14ac:dyDescent="0.2">
      <c r="A18" s="12" t="s">
        <v>743</v>
      </c>
      <c r="B18" s="22" t="s">
        <v>680</v>
      </c>
      <c r="C18" s="22" t="s">
        <v>710</v>
      </c>
      <c r="D18" s="22" t="s">
        <v>739</v>
      </c>
      <c r="E18" s="52" t="s">
        <v>735</v>
      </c>
      <c r="F18" s="79" t="s">
        <v>744</v>
      </c>
      <c r="G18" s="79" t="s">
        <v>745</v>
      </c>
    </row>
    <row r="19" spans="1:7" x14ac:dyDescent="0.2">
      <c r="A19" s="12" t="s">
        <v>746</v>
      </c>
      <c r="B19" s="22" t="s">
        <v>680</v>
      </c>
      <c r="C19" s="22" t="s">
        <v>747</v>
      </c>
      <c r="D19" s="22" t="s">
        <v>694</v>
      </c>
      <c r="E19" s="52" t="s">
        <v>702</v>
      </c>
      <c r="F19" s="79" t="s">
        <v>748</v>
      </c>
      <c r="G19" s="79" t="s">
        <v>749</v>
      </c>
    </row>
    <row r="20" spans="1:7" x14ac:dyDescent="0.2">
      <c r="A20" s="12" t="s">
        <v>750</v>
      </c>
      <c r="B20" s="22" t="s">
        <v>680</v>
      </c>
      <c r="C20" s="22" t="s">
        <v>751</v>
      </c>
      <c r="D20" s="22" t="s">
        <v>739</v>
      </c>
      <c r="E20" s="52" t="s">
        <v>717</v>
      </c>
      <c r="F20" s="79" t="s">
        <v>752</v>
      </c>
      <c r="G20" s="79" t="s">
        <v>753</v>
      </c>
    </row>
    <row r="21" spans="1:7" x14ac:dyDescent="0.2">
      <c r="A21" s="12" t="s">
        <v>754</v>
      </c>
      <c r="B21" s="22" t="s">
        <v>680</v>
      </c>
      <c r="C21" s="22" t="s">
        <v>755</v>
      </c>
      <c r="D21" s="22" t="s">
        <v>756</v>
      </c>
      <c r="E21" s="23"/>
      <c r="F21" s="79" t="s">
        <v>757</v>
      </c>
      <c r="G21" s="79" t="s">
        <v>758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0"/>
  <sheetViews>
    <sheetView workbookViewId="0">
      <selection activeCell="N10" sqref="N10"/>
    </sheetView>
  </sheetViews>
  <sheetFormatPr baseColWidth="10" defaultRowHeight="16" x14ac:dyDescent="0.2"/>
  <cols>
    <col min="1" max="1" width="22.1640625" bestFit="1" customWidth="1"/>
    <col min="3" max="3" width="10.6640625" bestFit="1" customWidth="1"/>
    <col min="4" max="4" width="13" bestFit="1" customWidth="1"/>
    <col min="8" max="8" width="34.6640625" bestFit="1" customWidth="1"/>
    <col min="9" max="9" width="27" bestFit="1" customWidth="1"/>
  </cols>
  <sheetData>
    <row r="1" spans="1:9" ht="17" customHeight="1" thickBot="1" x14ac:dyDescent="0.25">
      <c r="A1" s="13" t="s">
        <v>679</v>
      </c>
      <c r="B1" s="91" t="s">
        <v>680</v>
      </c>
      <c r="C1" s="91" t="s">
        <v>759</v>
      </c>
      <c r="D1" s="91" t="s">
        <v>760</v>
      </c>
      <c r="E1" s="91" t="s">
        <v>3</v>
      </c>
      <c r="F1" s="91" t="s">
        <v>761</v>
      </c>
      <c r="G1" s="91" t="s">
        <v>237</v>
      </c>
      <c r="H1" s="91" t="s">
        <v>141</v>
      </c>
      <c r="I1" s="92" t="s">
        <v>9</v>
      </c>
    </row>
    <row r="2" spans="1:9" x14ac:dyDescent="0.2">
      <c r="A2" s="82" t="s">
        <v>762</v>
      </c>
      <c r="B2" s="93"/>
      <c r="C2" s="93"/>
      <c r="D2" s="93"/>
      <c r="E2" s="93"/>
      <c r="F2" s="93"/>
      <c r="G2" s="24"/>
      <c r="H2" s="51"/>
      <c r="I2" s="51"/>
    </row>
    <row r="3" spans="1:9" x14ac:dyDescent="0.2">
      <c r="A3" s="24" t="s">
        <v>763</v>
      </c>
      <c r="B3" s="77" t="s">
        <v>680</v>
      </c>
      <c r="C3" s="77" t="s">
        <v>764</v>
      </c>
      <c r="D3" s="77" t="s">
        <v>765</v>
      </c>
      <c r="E3" s="77"/>
      <c r="F3" s="84"/>
      <c r="G3" s="84"/>
      <c r="H3" s="85" t="s">
        <v>766</v>
      </c>
      <c r="I3" s="85" t="s">
        <v>767</v>
      </c>
    </row>
    <row r="4" spans="1:9" x14ac:dyDescent="0.2">
      <c r="A4" s="76" t="s">
        <v>768</v>
      </c>
      <c r="B4" s="77" t="s">
        <v>680</v>
      </c>
      <c r="C4" s="77" t="s">
        <v>764</v>
      </c>
      <c r="D4" s="77" t="s">
        <v>765</v>
      </c>
      <c r="E4" s="77"/>
      <c r="F4" s="77"/>
      <c r="G4" s="77" t="s">
        <v>592</v>
      </c>
      <c r="H4" s="86" t="s">
        <v>766</v>
      </c>
      <c r="I4" s="86" t="s">
        <v>769</v>
      </c>
    </row>
    <row r="5" spans="1:9" x14ac:dyDescent="0.2">
      <c r="A5" s="76" t="s">
        <v>770</v>
      </c>
      <c r="B5" s="77" t="s">
        <v>680</v>
      </c>
      <c r="C5" s="77" t="s">
        <v>764</v>
      </c>
      <c r="D5" s="77" t="s">
        <v>765</v>
      </c>
      <c r="E5" s="77"/>
      <c r="F5" s="77"/>
      <c r="G5" s="77" t="s">
        <v>79</v>
      </c>
      <c r="H5" s="86" t="s">
        <v>766</v>
      </c>
      <c r="I5" s="86" t="s">
        <v>771</v>
      </c>
    </row>
    <row r="6" spans="1:9" x14ac:dyDescent="0.2">
      <c r="A6" s="76" t="s">
        <v>772</v>
      </c>
      <c r="B6" s="77" t="s">
        <v>680</v>
      </c>
      <c r="C6" s="77" t="s">
        <v>764</v>
      </c>
      <c r="D6" s="77" t="s">
        <v>773</v>
      </c>
      <c r="E6" s="77"/>
      <c r="F6" s="77"/>
      <c r="G6" s="77"/>
      <c r="H6" s="86" t="s">
        <v>774</v>
      </c>
      <c r="I6" s="86"/>
    </row>
    <row r="7" spans="1:9" x14ac:dyDescent="0.2">
      <c r="A7" s="76" t="s">
        <v>775</v>
      </c>
      <c r="B7" s="77" t="s">
        <v>680</v>
      </c>
      <c r="C7" s="77" t="s">
        <v>764</v>
      </c>
      <c r="D7" s="77" t="s">
        <v>773</v>
      </c>
      <c r="E7" s="77"/>
      <c r="F7" s="77"/>
      <c r="G7" s="77"/>
      <c r="H7" s="86" t="s">
        <v>774</v>
      </c>
      <c r="I7" s="86" t="s">
        <v>592</v>
      </c>
    </row>
    <row r="8" spans="1:9" x14ac:dyDescent="0.2">
      <c r="A8" s="76" t="s">
        <v>776</v>
      </c>
      <c r="B8" s="77" t="s">
        <v>680</v>
      </c>
      <c r="C8" s="77" t="s">
        <v>777</v>
      </c>
      <c r="D8" s="77" t="s">
        <v>773</v>
      </c>
      <c r="E8" s="77"/>
      <c r="F8" s="77"/>
      <c r="G8" s="77" t="s">
        <v>592</v>
      </c>
      <c r="H8" s="86" t="s">
        <v>778</v>
      </c>
      <c r="I8" s="86"/>
    </row>
    <row r="9" spans="1:9" x14ac:dyDescent="0.2">
      <c r="A9" s="76"/>
      <c r="B9" s="77"/>
      <c r="C9" s="77"/>
      <c r="D9" s="77"/>
      <c r="E9" s="77"/>
      <c r="F9" s="77"/>
      <c r="G9" s="77"/>
      <c r="H9" s="86"/>
      <c r="I9" s="86"/>
    </row>
    <row r="10" spans="1:9" x14ac:dyDescent="0.2">
      <c r="A10" s="87" t="s">
        <v>779</v>
      </c>
      <c r="B10" s="77"/>
      <c r="C10" s="77"/>
      <c r="D10" s="77"/>
      <c r="E10" s="77"/>
      <c r="F10" s="77"/>
      <c r="G10" s="77"/>
      <c r="H10" s="86"/>
      <c r="I10" s="86"/>
    </row>
    <row r="11" spans="1:9" x14ac:dyDescent="0.2">
      <c r="A11" s="88" t="s">
        <v>780</v>
      </c>
      <c r="B11" s="77" t="s">
        <v>680</v>
      </c>
      <c r="C11" s="77" t="s">
        <v>781</v>
      </c>
      <c r="D11" s="77" t="s">
        <v>782</v>
      </c>
      <c r="E11" s="77"/>
      <c r="F11" s="77"/>
      <c r="G11" s="77"/>
      <c r="H11" s="86" t="s">
        <v>783</v>
      </c>
      <c r="I11" s="86"/>
    </row>
    <row r="12" spans="1:9" x14ac:dyDescent="0.2">
      <c r="A12" s="76" t="s">
        <v>784</v>
      </c>
      <c r="B12" s="77" t="s">
        <v>680</v>
      </c>
      <c r="C12" s="77" t="s">
        <v>781</v>
      </c>
      <c r="D12" s="77" t="s">
        <v>765</v>
      </c>
      <c r="E12" s="77"/>
      <c r="F12" s="77"/>
      <c r="G12" s="77"/>
      <c r="H12" s="86" t="s">
        <v>785</v>
      </c>
      <c r="I12" s="86" t="s">
        <v>786</v>
      </c>
    </row>
    <row r="13" spans="1:9" x14ac:dyDescent="0.2">
      <c r="A13" s="76" t="s">
        <v>787</v>
      </c>
      <c r="B13" s="77" t="s">
        <v>680</v>
      </c>
      <c r="C13" s="77" t="s">
        <v>781</v>
      </c>
      <c r="D13" s="77" t="s">
        <v>765</v>
      </c>
      <c r="E13" s="77"/>
      <c r="F13" s="77"/>
      <c r="G13" s="77"/>
      <c r="H13" s="86" t="s">
        <v>788</v>
      </c>
      <c r="I13" s="86" t="s">
        <v>789</v>
      </c>
    </row>
    <row r="14" spans="1:9" x14ac:dyDescent="0.2">
      <c r="A14" s="76" t="s">
        <v>790</v>
      </c>
      <c r="B14" s="77" t="s">
        <v>680</v>
      </c>
      <c r="C14" s="77" t="s">
        <v>781</v>
      </c>
      <c r="D14" s="77" t="s">
        <v>765</v>
      </c>
      <c r="E14" s="77"/>
      <c r="F14" s="77"/>
      <c r="G14" s="77"/>
      <c r="H14" s="86" t="s">
        <v>791</v>
      </c>
      <c r="I14" s="86"/>
    </row>
    <row r="15" spans="1:9" x14ac:dyDescent="0.2">
      <c r="A15" s="76" t="s">
        <v>792</v>
      </c>
      <c r="B15" s="77" t="s">
        <v>680</v>
      </c>
      <c r="C15" s="77" t="s">
        <v>781</v>
      </c>
      <c r="D15" s="77" t="s">
        <v>765</v>
      </c>
      <c r="E15" s="77"/>
      <c r="F15" s="77"/>
      <c r="G15" s="77"/>
      <c r="H15" s="86" t="s">
        <v>791</v>
      </c>
      <c r="I15" s="86"/>
    </row>
    <row r="16" spans="1:9" x14ac:dyDescent="0.2">
      <c r="A16" s="76" t="s">
        <v>776</v>
      </c>
      <c r="B16" s="77" t="s">
        <v>680</v>
      </c>
      <c r="C16" s="77" t="s">
        <v>777</v>
      </c>
      <c r="D16" s="77" t="s">
        <v>773</v>
      </c>
      <c r="E16" s="77"/>
      <c r="F16" s="77"/>
      <c r="G16" s="77" t="s">
        <v>592</v>
      </c>
      <c r="H16" s="86" t="s">
        <v>778</v>
      </c>
      <c r="I16" s="86"/>
    </row>
    <row r="17" spans="1:9" x14ac:dyDescent="0.2">
      <c r="A17" s="76"/>
      <c r="B17" s="77"/>
      <c r="C17" s="77"/>
      <c r="D17" s="77"/>
      <c r="E17" s="77"/>
      <c r="F17" s="77"/>
      <c r="G17" s="77"/>
      <c r="H17" s="86"/>
      <c r="I17" s="86"/>
    </row>
    <row r="18" spans="1:9" x14ac:dyDescent="0.2">
      <c r="A18" s="89" t="s">
        <v>793</v>
      </c>
      <c r="B18" s="77"/>
      <c r="C18" s="77"/>
      <c r="D18" s="77"/>
      <c r="E18" s="77"/>
      <c r="F18" s="77"/>
      <c r="G18" s="77"/>
      <c r="H18" s="86"/>
      <c r="I18" s="86"/>
    </row>
    <row r="19" spans="1:9" x14ac:dyDescent="0.2">
      <c r="A19" s="76" t="s">
        <v>794</v>
      </c>
      <c r="B19" s="77" t="s">
        <v>680</v>
      </c>
      <c r="C19" s="77" t="s">
        <v>795</v>
      </c>
      <c r="D19" s="77" t="s">
        <v>796</v>
      </c>
      <c r="E19" s="77">
        <v>180</v>
      </c>
      <c r="F19" s="77"/>
      <c r="G19" s="77"/>
      <c r="H19" s="86" t="s">
        <v>797</v>
      </c>
      <c r="I19" s="86" t="s">
        <v>798</v>
      </c>
    </row>
    <row r="20" spans="1:9" x14ac:dyDescent="0.2">
      <c r="A20" s="76" t="s">
        <v>799</v>
      </c>
      <c r="B20" s="77" t="s">
        <v>680</v>
      </c>
      <c r="C20" s="77" t="s">
        <v>795</v>
      </c>
      <c r="D20" s="77" t="s">
        <v>764</v>
      </c>
      <c r="E20" s="77">
        <v>160</v>
      </c>
      <c r="F20" s="77"/>
      <c r="G20" s="77"/>
      <c r="H20" s="86" t="s">
        <v>800</v>
      </c>
      <c r="I20" s="86"/>
    </row>
    <row r="21" spans="1:9" x14ac:dyDescent="0.2">
      <c r="A21" s="76" t="s">
        <v>801</v>
      </c>
      <c r="B21" s="77" t="s">
        <v>680</v>
      </c>
      <c r="C21" s="77" t="s">
        <v>802</v>
      </c>
      <c r="D21" s="77" t="s">
        <v>796</v>
      </c>
      <c r="E21" s="77">
        <v>300</v>
      </c>
      <c r="F21" s="77"/>
      <c r="G21" s="77"/>
      <c r="H21" s="86" t="s">
        <v>803</v>
      </c>
      <c r="I21" s="86" t="s">
        <v>804</v>
      </c>
    </row>
    <row r="22" spans="1:9" x14ac:dyDescent="0.2">
      <c r="A22" s="76" t="s">
        <v>805</v>
      </c>
      <c r="B22" s="77" t="s">
        <v>680</v>
      </c>
      <c r="C22" s="77" t="s">
        <v>802</v>
      </c>
      <c r="D22" s="77" t="s">
        <v>796</v>
      </c>
      <c r="E22" s="77">
        <v>300</v>
      </c>
      <c r="F22" s="77" t="s">
        <v>806</v>
      </c>
      <c r="G22" s="77"/>
      <c r="H22" s="86" t="s">
        <v>807</v>
      </c>
      <c r="I22" s="86" t="s">
        <v>808</v>
      </c>
    </row>
    <row r="23" spans="1:9" x14ac:dyDescent="0.2">
      <c r="A23" s="76" t="s">
        <v>809</v>
      </c>
      <c r="B23" s="77" t="s">
        <v>680</v>
      </c>
      <c r="C23" s="77" t="s">
        <v>802</v>
      </c>
      <c r="D23" s="77" t="s">
        <v>796</v>
      </c>
      <c r="E23" s="77">
        <v>500</v>
      </c>
      <c r="F23" s="77" t="s">
        <v>806</v>
      </c>
      <c r="G23" s="77"/>
      <c r="H23" s="86" t="s">
        <v>810</v>
      </c>
      <c r="I23" s="86" t="s">
        <v>811</v>
      </c>
    </row>
    <row r="24" spans="1:9" x14ac:dyDescent="0.2">
      <c r="A24" s="76" t="s">
        <v>812</v>
      </c>
      <c r="B24" s="77" t="s">
        <v>680</v>
      </c>
      <c r="C24" s="77" t="s">
        <v>802</v>
      </c>
      <c r="D24" s="77" t="s">
        <v>796</v>
      </c>
      <c r="E24" s="77">
        <v>300</v>
      </c>
      <c r="F24" s="77" t="s">
        <v>806</v>
      </c>
      <c r="G24" s="77"/>
      <c r="H24" s="86" t="s">
        <v>813</v>
      </c>
      <c r="I24" s="86" t="s">
        <v>808</v>
      </c>
    </row>
    <row r="25" spans="1:9" x14ac:dyDescent="0.2">
      <c r="A25" s="76" t="s">
        <v>814</v>
      </c>
      <c r="B25" s="77" t="s">
        <v>680</v>
      </c>
      <c r="C25" s="77" t="s">
        <v>802</v>
      </c>
      <c r="D25" s="77" t="s">
        <v>796</v>
      </c>
      <c r="E25" s="77">
        <v>1200</v>
      </c>
      <c r="F25" s="77" t="s">
        <v>806</v>
      </c>
      <c r="G25" s="77"/>
      <c r="H25" s="86" t="s">
        <v>815</v>
      </c>
      <c r="I25" s="86" t="s">
        <v>811</v>
      </c>
    </row>
    <row r="26" spans="1:9" x14ac:dyDescent="0.2">
      <c r="A26" s="76"/>
      <c r="B26" s="77"/>
      <c r="C26" s="77"/>
      <c r="D26" s="77"/>
      <c r="E26" s="77"/>
      <c r="F26" s="77"/>
      <c r="G26" s="77"/>
      <c r="H26" s="86"/>
      <c r="I26" s="86"/>
    </row>
    <row r="27" spans="1:9" x14ac:dyDescent="0.2">
      <c r="A27" s="89" t="s">
        <v>816</v>
      </c>
      <c r="B27" s="90"/>
      <c r="C27" s="77"/>
      <c r="D27" s="77"/>
      <c r="E27" s="77"/>
      <c r="F27" s="77"/>
      <c r="G27" s="77"/>
      <c r="H27" s="86"/>
      <c r="I27" s="86"/>
    </row>
    <row r="28" spans="1:9" x14ac:dyDescent="0.2">
      <c r="A28" s="76" t="s">
        <v>817</v>
      </c>
      <c r="B28" s="77"/>
      <c r="C28" s="77" t="s">
        <v>818</v>
      </c>
      <c r="D28" s="77"/>
      <c r="E28" s="77">
        <v>36</v>
      </c>
      <c r="F28" s="77"/>
      <c r="G28" s="77" t="s">
        <v>592</v>
      </c>
      <c r="H28" s="86" t="s">
        <v>819</v>
      </c>
      <c r="I28" s="86" t="s">
        <v>592</v>
      </c>
    </row>
    <row r="29" spans="1:9" x14ac:dyDescent="0.2">
      <c r="A29" s="76" t="s">
        <v>820</v>
      </c>
      <c r="B29" s="77"/>
      <c r="C29" s="77" t="s">
        <v>818</v>
      </c>
      <c r="D29" s="77" t="s">
        <v>821</v>
      </c>
      <c r="E29" s="77"/>
      <c r="F29" s="77" t="s">
        <v>806</v>
      </c>
      <c r="G29" s="77" t="s">
        <v>592</v>
      </c>
      <c r="H29" s="86" t="s">
        <v>822</v>
      </c>
      <c r="I29" s="86" t="s">
        <v>823</v>
      </c>
    </row>
    <row r="30" spans="1:9" x14ac:dyDescent="0.2">
      <c r="A30" s="76" t="s">
        <v>824</v>
      </c>
      <c r="B30" s="77"/>
      <c r="C30" s="77" t="s">
        <v>818</v>
      </c>
      <c r="D30" s="77" t="s">
        <v>821</v>
      </c>
      <c r="E30" s="77"/>
      <c r="F30" s="77" t="s">
        <v>680</v>
      </c>
      <c r="G30" s="77"/>
      <c r="H30" s="86" t="s">
        <v>825</v>
      </c>
      <c r="I30" s="86" t="s">
        <v>826</v>
      </c>
    </row>
    <row r="31" spans="1:9" x14ac:dyDescent="0.2">
      <c r="A31" s="76" t="s">
        <v>827</v>
      </c>
      <c r="B31" s="77"/>
      <c r="C31" s="77" t="s">
        <v>818</v>
      </c>
      <c r="D31" s="77" t="s">
        <v>821</v>
      </c>
      <c r="E31" s="77"/>
      <c r="F31" s="77" t="s">
        <v>680</v>
      </c>
      <c r="G31" s="77" t="s">
        <v>592</v>
      </c>
      <c r="H31" s="86" t="s">
        <v>825</v>
      </c>
      <c r="I31" s="86" t="s">
        <v>828</v>
      </c>
    </row>
    <row r="32" spans="1:9" x14ac:dyDescent="0.2">
      <c r="A32" s="76"/>
      <c r="B32" s="77"/>
      <c r="C32" s="77"/>
      <c r="D32" s="77"/>
      <c r="E32" s="77"/>
      <c r="F32" s="77"/>
      <c r="G32" s="77"/>
      <c r="H32" s="86"/>
      <c r="I32" s="86"/>
    </row>
    <row r="33" spans="1:9" x14ac:dyDescent="0.2">
      <c r="A33" s="89" t="s">
        <v>829</v>
      </c>
      <c r="B33" s="90"/>
      <c r="C33" s="77"/>
      <c r="D33" s="77"/>
      <c r="E33" s="77"/>
      <c r="F33" s="77"/>
      <c r="G33" s="77"/>
      <c r="H33" s="86"/>
      <c r="I33" s="86"/>
    </row>
    <row r="34" spans="1:9" x14ac:dyDescent="0.2">
      <c r="A34" s="76" t="s">
        <v>830</v>
      </c>
      <c r="B34" s="77"/>
      <c r="C34" s="77" t="s">
        <v>831</v>
      </c>
      <c r="D34" s="77"/>
      <c r="E34" s="77">
        <v>36</v>
      </c>
      <c r="F34" s="77"/>
      <c r="G34" s="77"/>
      <c r="H34" s="86" t="s">
        <v>832</v>
      </c>
      <c r="I34" s="86" t="s">
        <v>833</v>
      </c>
    </row>
    <row r="35" spans="1:9" x14ac:dyDescent="0.2">
      <c r="A35" s="76" t="s">
        <v>834</v>
      </c>
      <c r="B35" s="77"/>
      <c r="C35" s="77" t="s">
        <v>831</v>
      </c>
      <c r="D35" s="77" t="s">
        <v>821</v>
      </c>
      <c r="E35" s="77"/>
      <c r="F35" s="77" t="s">
        <v>806</v>
      </c>
      <c r="G35" s="77" t="s">
        <v>592</v>
      </c>
      <c r="H35" s="86" t="s">
        <v>835</v>
      </c>
      <c r="I35" s="86" t="s">
        <v>823</v>
      </c>
    </row>
    <row r="36" spans="1:9" x14ac:dyDescent="0.2">
      <c r="A36" s="76" t="s">
        <v>836</v>
      </c>
      <c r="B36" s="77"/>
      <c r="C36" s="77" t="s">
        <v>831</v>
      </c>
      <c r="D36" s="77" t="s">
        <v>821</v>
      </c>
      <c r="E36" s="77"/>
      <c r="F36" s="77" t="s">
        <v>680</v>
      </c>
      <c r="G36" s="77"/>
      <c r="H36" s="86" t="s">
        <v>837</v>
      </c>
      <c r="I36" s="86"/>
    </row>
    <row r="37" spans="1:9" x14ac:dyDescent="0.2">
      <c r="A37" s="76" t="s">
        <v>838</v>
      </c>
      <c r="B37" s="77"/>
      <c r="C37" s="77" t="s">
        <v>831</v>
      </c>
      <c r="D37" s="77" t="s">
        <v>821</v>
      </c>
      <c r="E37" s="77" t="s">
        <v>839</v>
      </c>
      <c r="F37" s="77"/>
      <c r="G37" s="77"/>
      <c r="H37" s="86" t="s">
        <v>840</v>
      </c>
      <c r="I37" s="86"/>
    </row>
    <row r="38" spans="1:9" x14ac:dyDescent="0.2">
      <c r="A38" s="76" t="s">
        <v>841</v>
      </c>
      <c r="B38" s="77"/>
      <c r="C38" s="77" t="s">
        <v>831</v>
      </c>
      <c r="D38" s="77" t="s">
        <v>821</v>
      </c>
      <c r="E38" s="77"/>
      <c r="F38" s="77" t="s">
        <v>680</v>
      </c>
      <c r="G38" s="77" t="s">
        <v>592</v>
      </c>
      <c r="H38" s="86" t="s">
        <v>842</v>
      </c>
      <c r="I38" s="86"/>
    </row>
    <row r="39" spans="1:9" x14ac:dyDescent="0.2">
      <c r="A39" s="76" t="s">
        <v>843</v>
      </c>
      <c r="B39" s="77"/>
      <c r="C39" s="77" t="s">
        <v>831</v>
      </c>
      <c r="D39" s="77" t="s">
        <v>844</v>
      </c>
      <c r="E39" s="77">
        <v>720</v>
      </c>
      <c r="F39" s="77"/>
      <c r="G39" s="77" t="s">
        <v>592</v>
      </c>
      <c r="H39" s="86" t="s">
        <v>845</v>
      </c>
      <c r="I39" s="86"/>
    </row>
    <row r="40" spans="1:9" x14ac:dyDescent="0.2">
      <c r="A40" s="76" t="s">
        <v>846</v>
      </c>
      <c r="B40" s="77"/>
      <c r="C40" s="77" t="s">
        <v>818</v>
      </c>
      <c r="D40" s="77" t="s">
        <v>847</v>
      </c>
      <c r="E40" s="77"/>
      <c r="F40" s="77"/>
      <c r="G40" s="77" t="s">
        <v>592</v>
      </c>
      <c r="H40" s="86" t="s">
        <v>848</v>
      </c>
      <c r="I40" s="86" t="s">
        <v>849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1"/>
  <sheetViews>
    <sheetView workbookViewId="0">
      <selection activeCell="O16" sqref="O16"/>
    </sheetView>
  </sheetViews>
  <sheetFormatPr baseColWidth="10" defaultRowHeight="16" x14ac:dyDescent="0.2"/>
  <cols>
    <col min="1" max="1" width="18.33203125" bestFit="1" customWidth="1"/>
    <col min="6" max="6" width="13.6640625" bestFit="1" customWidth="1"/>
    <col min="11" max="11" width="38.5" bestFit="1" customWidth="1"/>
    <col min="12" max="12" width="42.83203125" bestFit="1" customWidth="1"/>
  </cols>
  <sheetData>
    <row r="1" spans="1:12" ht="17" customHeight="1" thickBot="1" x14ac:dyDescent="0.25">
      <c r="A1" s="13" t="s">
        <v>679</v>
      </c>
      <c r="B1" s="14" t="s">
        <v>850</v>
      </c>
      <c r="C1" s="14" t="s">
        <v>851</v>
      </c>
      <c r="D1" s="14" t="s">
        <v>852</v>
      </c>
      <c r="E1" s="14" t="s">
        <v>853</v>
      </c>
      <c r="F1" s="14" t="s">
        <v>854</v>
      </c>
      <c r="G1" s="14" t="s">
        <v>855</v>
      </c>
      <c r="H1" s="14" t="s">
        <v>850</v>
      </c>
      <c r="I1" s="14" t="s">
        <v>856</v>
      </c>
      <c r="J1" s="14" t="s">
        <v>237</v>
      </c>
      <c r="K1" s="14" t="s">
        <v>141</v>
      </c>
      <c r="L1" s="15" t="s">
        <v>9</v>
      </c>
    </row>
    <row r="2" spans="1:12" x14ac:dyDescent="0.2">
      <c r="A2" t="s">
        <v>857</v>
      </c>
      <c r="B2" s="1">
        <v>46</v>
      </c>
      <c r="C2" s="1"/>
      <c r="D2" s="1">
        <v>1200</v>
      </c>
      <c r="E2" s="1"/>
      <c r="F2" s="1">
        <v>25</v>
      </c>
      <c r="G2" s="2" t="s">
        <v>858</v>
      </c>
      <c r="H2" s="2"/>
      <c r="I2" s="2"/>
      <c r="J2" s="2" t="s">
        <v>669</v>
      </c>
      <c r="K2" t="s">
        <v>859</v>
      </c>
      <c r="L2" t="s">
        <v>860</v>
      </c>
    </row>
    <row r="3" spans="1:12" x14ac:dyDescent="0.2">
      <c r="A3" s="83" t="s">
        <v>861</v>
      </c>
      <c r="B3" s="1"/>
      <c r="C3" s="1"/>
      <c r="D3" s="1"/>
      <c r="E3" s="1"/>
      <c r="F3" s="1"/>
      <c r="G3" s="2"/>
      <c r="H3" s="2"/>
      <c r="I3" s="2"/>
      <c r="J3" s="2"/>
    </row>
    <row r="4" spans="1:12" x14ac:dyDescent="0.2">
      <c r="A4" t="s">
        <v>862</v>
      </c>
      <c r="B4" s="1"/>
      <c r="C4" s="2" t="s">
        <v>861</v>
      </c>
      <c r="D4" s="1">
        <v>1000</v>
      </c>
      <c r="E4" s="1"/>
      <c r="F4" s="1">
        <v>20</v>
      </c>
      <c r="G4" s="2" t="s">
        <v>404</v>
      </c>
      <c r="H4" s="2"/>
      <c r="I4" s="2"/>
      <c r="J4" s="2" t="s">
        <v>79</v>
      </c>
      <c r="K4" t="s">
        <v>863</v>
      </c>
    </row>
    <row r="5" spans="1:12" x14ac:dyDescent="0.2">
      <c r="A5" t="s">
        <v>864</v>
      </c>
      <c r="B5" s="1"/>
      <c r="C5" s="2" t="s">
        <v>861</v>
      </c>
      <c r="D5" s="1">
        <v>1000</v>
      </c>
      <c r="E5" s="1"/>
      <c r="F5" s="1">
        <v>25</v>
      </c>
      <c r="G5" s="2" t="s">
        <v>192</v>
      </c>
      <c r="H5" s="2"/>
      <c r="I5" s="2"/>
      <c r="J5" s="1"/>
      <c r="K5" t="s">
        <v>865</v>
      </c>
    </row>
    <row r="6" spans="1:12" x14ac:dyDescent="0.2">
      <c r="A6" s="83" t="s">
        <v>866</v>
      </c>
      <c r="B6" s="1"/>
      <c r="C6" s="2"/>
      <c r="D6" s="1"/>
      <c r="E6" s="1"/>
      <c r="F6" s="1"/>
      <c r="G6" s="2"/>
      <c r="H6" s="2"/>
      <c r="I6" s="2"/>
      <c r="J6" s="1"/>
    </row>
    <row r="7" spans="1:12" x14ac:dyDescent="0.2">
      <c r="A7" s="4" t="s">
        <v>867</v>
      </c>
      <c r="B7" s="1"/>
      <c r="C7" s="1" t="s">
        <v>866</v>
      </c>
      <c r="D7" s="1">
        <v>1000</v>
      </c>
      <c r="E7" s="1"/>
      <c r="F7" s="1">
        <v>36</v>
      </c>
      <c r="G7" s="1" t="s">
        <v>404</v>
      </c>
      <c r="H7" s="1"/>
      <c r="I7" s="1" t="s">
        <v>868</v>
      </c>
      <c r="J7" s="1"/>
      <c r="K7" t="s">
        <v>869</v>
      </c>
      <c r="L7" t="s">
        <v>870</v>
      </c>
    </row>
    <row r="8" spans="1:12" x14ac:dyDescent="0.2">
      <c r="A8" s="4" t="s">
        <v>871</v>
      </c>
      <c r="B8" s="1"/>
      <c r="C8" s="1" t="s">
        <v>866</v>
      </c>
      <c r="D8" s="1">
        <v>1000</v>
      </c>
      <c r="E8" s="1"/>
      <c r="F8" s="1">
        <v>36</v>
      </c>
      <c r="G8" s="1" t="s">
        <v>192</v>
      </c>
      <c r="H8" s="1"/>
      <c r="I8" s="1" t="s">
        <v>868</v>
      </c>
      <c r="J8" s="1" t="s">
        <v>872</v>
      </c>
      <c r="K8" s="4" t="s">
        <v>873</v>
      </c>
      <c r="L8" t="s">
        <v>874</v>
      </c>
    </row>
    <row r="9" spans="1:12" x14ac:dyDescent="0.2">
      <c r="A9" s="4" t="s">
        <v>875</v>
      </c>
      <c r="B9" s="1"/>
      <c r="C9" s="1" t="s">
        <v>866</v>
      </c>
      <c r="D9" s="1">
        <v>1200</v>
      </c>
      <c r="E9" s="1"/>
      <c r="F9" s="1">
        <v>24</v>
      </c>
      <c r="G9" s="2" t="s">
        <v>858</v>
      </c>
      <c r="H9" s="1">
        <v>46</v>
      </c>
      <c r="I9" s="1"/>
      <c r="J9" s="1"/>
      <c r="K9" s="4" t="s">
        <v>876</v>
      </c>
      <c r="L9" t="s">
        <v>877</v>
      </c>
    </row>
    <row r="10" spans="1:12" x14ac:dyDescent="0.2">
      <c r="A10" s="4" t="s">
        <v>878</v>
      </c>
      <c r="B10" s="1"/>
      <c r="C10" s="1" t="s">
        <v>866</v>
      </c>
      <c r="D10" s="1">
        <v>2400</v>
      </c>
      <c r="E10" s="1"/>
      <c r="F10" s="1">
        <v>30</v>
      </c>
      <c r="G10" s="2" t="s">
        <v>879</v>
      </c>
      <c r="H10" s="1">
        <v>2</v>
      </c>
      <c r="I10" s="2" t="s">
        <v>880</v>
      </c>
      <c r="J10" s="1"/>
      <c r="K10" s="4" t="s">
        <v>878</v>
      </c>
      <c r="L10" t="s">
        <v>881</v>
      </c>
    </row>
    <row r="11" spans="1:12" x14ac:dyDescent="0.2">
      <c r="A11" s="4" t="s">
        <v>882</v>
      </c>
      <c r="B11" s="1"/>
      <c r="C11" s="1" t="s">
        <v>866</v>
      </c>
      <c r="D11" s="1">
        <v>1400</v>
      </c>
      <c r="E11" s="1"/>
      <c r="F11" s="1">
        <v>24</v>
      </c>
      <c r="G11" s="1" t="s">
        <v>879</v>
      </c>
      <c r="H11" s="1"/>
      <c r="I11" s="1"/>
      <c r="J11" s="1" t="s">
        <v>669</v>
      </c>
      <c r="K11" s="4" t="s">
        <v>883</v>
      </c>
      <c r="L11" t="s">
        <v>884</v>
      </c>
    </row>
    <row r="12" spans="1:12" x14ac:dyDescent="0.2">
      <c r="A12" s="4" t="s">
        <v>885</v>
      </c>
      <c r="B12" s="1"/>
      <c r="C12" s="1" t="s">
        <v>866</v>
      </c>
      <c r="D12" s="1">
        <v>3000</v>
      </c>
      <c r="E12" s="1"/>
      <c r="F12" s="1">
        <v>30</v>
      </c>
      <c r="G12" s="1" t="s">
        <v>879</v>
      </c>
      <c r="H12" s="1">
        <v>2</v>
      </c>
      <c r="I12" s="1" t="s">
        <v>880</v>
      </c>
      <c r="J12" s="1" t="s">
        <v>592</v>
      </c>
      <c r="K12" s="4" t="s">
        <v>886</v>
      </c>
      <c r="L12" t="s">
        <v>887</v>
      </c>
    </row>
    <row r="13" spans="1:12" x14ac:dyDescent="0.2">
      <c r="A13" s="4" t="s">
        <v>888</v>
      </c>
      <c r="B13" s="1"/>
      <c r="C13" s="1" t="s">
        <v>866</v>
      </c>
      <c r="D13" s="1">
        <v>2400</v>
      </c>
      <c r="E13" s="1"/>
      <c r="F13" s="1">
        <v>30</v>
      </c>
      <c r="G13" s="1" t="s">
        <v>879</v>
      </c>
      <c r="H13" s="1">
        <v>2</v>
      </c>
      <c r="I13" s="1" t="s">
        <v>880</v>
      </c>
      <c r="J13" s="1" t="s">
        <v>868</v>
      </c>
      <c r="K13" s="4" t="s">
        <v>889</v>
      </c>
      <c r="L13" t="s">
        <v>890</v>
      </c>
    </row>
    <row r="14" spans="1:12" x14ac:dyDescent="0.2">
      <c r="A14" s="83" t="s">
        <v>891</v>
      </c>
      <c r="B14" s="1"/>
      <c r="C14" s="1"/>
      <c r="D14" s="1"/>
      <c r="E14" s="1"/>
      <c r="F14" s="1"/>
      <c r="G14" s="1"/>
      <c r="H14" s="1"/>
      <c r="I14" s="1"/>
      <c r="J14" s="1"/>
      <c r="K14" s="4"/>
    </row>
    <row r="15" spans="1:12" x14ac:dyDescent="0.2">
      <c r="A15" s="4" t="s">
        <v>892</v>
      </c>
      <c r="B15" s="1"/>
      <c r="C15" s="2" t="s">
        <v>891</v>
      </c>
      <c r="D15" s="1">
        <v>1000</v>
      </c>
      <c r="E15" s="1"/>
      <c r="F15" s="1">
        <v>24</v>
      </c>
      <c r="G15" s="2" t="s">
        <v>893</v>
      </c>
      <c r="H15" s="1">
        <v>64</v>
      </c>
      <c r="I15" s="2"/>
      <c r="J15" s="1"/>
      <c r="K15" s="4" t="s">
        <v>894</v>
      </c>
      <c r="L15" t="s">
        <v>895</v>
      </c>
    </row>
    <row r="16" spans="1:12" x14ac:dyDescent="0.2">
      <c r="A16" s="4" t="s">
        <v>896</v>
      </c>
      <c r="B16" s="1"/>
      <c r="C16" s="2" t="s">
        <v>891</v>
      </c>
      <c r="D16" s="1">
        <v>1200</v>
      </c>
      <c r="E16" s="1"/>
      <c r="F16" s="1">
        <v>24</v>
      </c>
      <c r="G16" s="2" t="s">
        <v>893</v>
      </c>
      <c r="H16" s="1"/>
      <c r="I16" s="1"/>
      <c r="J16" s="1"/>
      <c r="K16" s="4" t="s">
        <v>897</v>
      </c>
      <c r="L16" t="s">
        <v>898</v>
      </c>
    </row>
    <row r="17" spans="1:12" x14ac:dyDescent="0.2">
      <c r="A17" s="83" t="s">
        <v>899</v>
      </c>
      <c r="B17" s="1"/>
      <c r="C17" s="1"/>
      <c r="D17" s="1"/>
      <c r="E17" s="1"/>
      <c r="F17" s="1"/>
      <c r="G17" s="1"/>
      <c r="H17" s="1"/>
      <c r="I17" s="1"/>
      <c r="J17" s="1"/>
      <c r="K17" s="4"/>
    </row>
    <row r="18" spans="1:12" x14ac:dyDescent="0.2">
      <c r="A18" s="4" t="s">
        <v>900</v>
      </c>
      <c r="B18" s="1"/>
      <c r="C18" s="1" t="s">
        <v>899</v>
      </c>
      <c r="D18" s="1">
        <v>1000</v>
      </c>
      <c r="E18" s="1"/>
      <c r="F18" s="1">
        <v>24</v>
      </c>
      <c r="G18" s="1" t="s">
        <v>879</v>
      </c>
      <c r="H18" s="1"/>
      <c r="I18" s="1"/>
      <c r="J18" s="1"/>
      <c r="K18" s="4" t="s">
        <v>901</v>
      </c>
      <c r="L18" t="s">
        <v>902</v>
      </c>
    </row>
    <row r="19" spans="1:12" x14ac:dyDescent="0.2">
      <c r="A19" s="4" t="s">
        <v>903</v>
      </c>
      <c r="B19" s="1"/>
      <c r="C19" s="1" t="s">
        <v>899</v>
      </c>
      <c r="D19" s="1">
        <v>2400</v>
      </c>
      <c r="E19" s="1"/>
      <c r="F19" s="1">
        <v>30</v>
      </c>
      <c r="G19" s="1" t="s">
        <v>879</v>
      </c>
      <c r="H19" s="1">
        <v>2</v>
      </c>
      <c r="I19" s="1" t="s">
        <v>880</v>
      </c>
      <c r="J19" s="2" t="s">
        <v>904</v>
      </c>
      <c r="K19" s="4" t="s">
        <v>905</v>
      </c>
      <c r="L19" t="s">
        <v>906</v>
      </c>
    </row>
    <row r="20" spans="1:12" x14ac:dyDescent="0.2">
      <c r="A20" s="83" t="s">
        <v>907</v>
      </c>
      <c r="B20" s="1"/>
      <c r="C20" s="1"/>
      <c r="D20" s="1"/>
      <c r="E20" s="1"/>
      <c r="F20" s="1"/>
      <c r="G20" s="1"/>
      <c r="H20" s="1"/>
      <c r="I20" s="1"/>
      <c r="J20" s="1"/>
      <c r="K20" s="4"/>
    </row>
    <row r="21" spans="1:12" x14ac:dyDescent="0.2">
      <c r="A21" s="4" t="s">
        <v>908</v>
      </c>
      <c r="B21" s="1"/>
      <c r="C21" s="2" t="s">
        <v>907</v>
      </c>
      <c r="D21" s="1">
        <v>650</v>
      </c>
      <c r="E21" s="1"/>
      <c r="F21" s="1">
        <v>24</v>
      </c>
      <c r="G21" s="2" t="s">
        <v>404</v>
      </c>
      <c r="H21" s="1"/>
      <c r="I21" s="1"/>
      <c r="J21" s="2" t="s">
        <v>669</v>
      </c>
      <c r="K21" s="4" t="s">
        <v>909</v>
      </c>
      <c r="L21" t="s">
        <v>910</v>
      </c>
    </row>
    <row r="22" spans="1:12" x14ac:dyDescent="0.2">
      <c r="A22" s="4" t="s">
        <v>911</v>
      </c>
      <c r="B22" s="1"/>
      <c r="C22" s="2" t="s">
        <v>907</v>
      </c>
      <c r="D22" s="1">
        <v>900</v>
      </c>
      <c r="E22" s="1"/>
      <c r="F22" s="1">
        <v>30</v>
      </c>
      <c r="G22" s="2" t="s">
        <v>192</v>
      </c>
      <c r="H22" s="1"/>
      <c r="I22" s="2" t="s">
        <v>196</v>
      </c>
      <c r="J22" s="1"/>
      <c r="K22" s="4" t="s">
        <v>912</v>
      </c>
      <c r="L22" t="s">
        <v>913</v>
      </c>
    </row>
    <row r="23" spans="1:12" x14ac:dyDescent="0.2">
      <c r="A23" s="4" t="s">
        <v>914</v>
      </c>
      <c r="B23" s="1"/>
      <c r="C23" s="2" t="s">
        <v>907</v>
      </c>
      <c r="D23" s="1">
        <v>2400</v>
      </c>
      <c r="E23" s="1"/>
      <c r="F23" s="1">
        <v>30</v>
      </c>
      <c r="G23" s="2" t="s">
        <v>858</v>
      </c>
      <c r="H23" s="1">
        <v>2</v>
      </c>
      <c r="I23" s="2" t="s">
        <v>880</v>
      </c>
      <c r="J23" s="2" t="s">
        <v>904</v>
      </c>
      <c r="K23" s="4"/>
    </row>
    <row r="24" spans="1:12" x14ac:dyDescent="0.2">
      <c r="A24" s="83" t="s">
        <v>915</v>
      </c>
      <c r="B24" s="1"/>
      <c r="C24" s="2"/>
      <c r="D24" s="1"/>
      <c r="E24" s="1"/>
      <c r="F24" s="1"/>
      <c r="G24" s="2"/>
      <c r="H24" s="1"/>
      <c r="I24" s="2"/>
      <c r="J24" s="2"/>
      <c r="K24" s="4"/>
    </row>
    <row r="25" spans="1:12" x14ac:dyDescent="0.2">
      <c r="A25" s="4" t="s">
        <v>916</v>
      </c>
      <c r="B25" s="1"/>
      <c r="C25" s="2" t="s">
        <v>915</v>
      </c>
      <c r="D25" s="1">
        <v>500</v>
      </c>
      <c r="E25" s="2" t="s">
        <v>917</v>
      </c>
      <c r="F25" s="2">
        <v>24</v>
      </c>
      <c r="G25" s="2" t="s">
        <v>382</v>
      </c>
      <c r="H25" s="1">
        <v>1</v>
      </c>
      <c r="I25" s="2"/>
      <c r="J25" s="2"/>
      <c r="K25" s="4" t="s">
        <v>918</v>
      </c>
      <c r="L25" t="s">
        <v>919</v>
      </c>
    </row>
    <row r="26" spans="1:12" x14ac:dyDescent="0.2">
      <c r="A26" s="83" t="s">
        <v>920</v>
      </c>
      <c r="B26" s="1"/>
      <c r="C26" s="2"/>
      <c r="D26" s="1"/>
      <c r="E26" s="1"/>
      <c r="F26" s="1"/>
      <c r="G26" s="2"/>
      <c r="H26" s="1"/>
      <c r="I26" s="2"/>
      <c r="J26" s="2"/>
      <c r="K26" s="4"/>
    </row>
    <row r="27" spans="1:12" x14ac:dyDescent="0.2">
      <c r="A27" s="4" t="s">
        <v>921</v>
      </c>
      <c r="B27" s="1"/>
      <c r="C27" s="2" t="s">
        <v>920</v>
      </c>
      <c r="D27" s="1">
        <v>500</v>
      </c>
      <c r="E27" s="2" t="s">
        <v>917</v>
      </c>
      <c r="F27" s="2">
        <v>24</v>
      </c>
      <c r="G27" s="2" t="s">
        <v>922</v>
      </c>
      <c r="H27" s="1">
        <v>1</v>
      </c>
      <c r="I27" s="2"/>
      <c r="J27" s="2"/>
      <c r="K27" s="4" t="s">
        <v>923</v>
      </c>
      <c r="L27" t="s">
        <v>924</v>
      </c>
    </row>
    <row r="28" spans="1:12" x14ac:dyDescent="0.2">
      <c r="A28" s="83" t="s">
        <v>925</v>
      </c>
      <c r="B28" s="1"/>
      <c r="C28" s="2"/>
      <c r="D28" s="1"/>
      <c r="E28" s="1"/>
      <c r="F28" s="1"/>
      <c r="G28" s="2"/>
      <c r="H28" s="1"/>
      <c r="I28" s="2"/>
      <c r="J28" s="2"/>
      <c r="K28" s="4"/>
    </row>
    <row r="29" spans="1:12" x14ac:dyDescent="0.2">
      <c r="A29" s="4" t="s">
        <v>926</v>
      </c>
      <c r="B29" s="1"/>
      <c r="C29" s="2" t="s">
        <v>925</v>
      </c>
      <c r="D29" s="1">
        <v>1100</v>
      </c>
      <c r="E29" s="2" t="s">
        <v>917</v>
      </c>
      <c r="F29" s="2">
        <v>24</v>
      </c>
      <c r="G29" s="2" t="s">
        <v>927</v>
      </c>
      <c r="H29" s="1">
        <v>1</v>
      </c>
      <c r="I29" s="2"/>
      <c r="J29" s="2"/>
      <c r="K29" s="4" t="s">
        <v>928</v>
      </c>
      <c r="L29" t="s">
        <v>929</v>
      </c>
    </row>
    <row r="30" spans="1:12" x14ac:dyDescent="0.2">
      <c r="A30" s="83" t="s">
        <v>930</v>
      </c>
      <c r="B30" s="1"/>
      <c r="C30" s="2"/>
      <c r="D30" s="1"/>
      <c r="E30" s="1"/>
      <c r="F30" s="1"/>
      <c r="G30" s="2"/>
      <c r="H30" s="1"/>
      <c r="I30" s="2"/>
      <c r="J30" s="2"/>
      <c r="K30" s="4"/>
    </row>
    <row r="31" spans="1:12" x14ac:dyDescent="0.2">
      <c r="A31" s="4" t="s">
        <v>931</v>
      </c>
      <c r="B31" s="1"/>
      <c r="C31" s="2" t="s">
        <v>932</v>
      </c>
      <c r="D31" s="1">
        <v>1000</v>
      </c>
      <c r="E31" s="2" t="s">
        <v>917</v>
      </c>
      <c r="F31" s="1">
        <v>24</v>
      </c>
      <c r="G31" s="2" t="s">
        <v>933</v>
      </c>
      <c r="H31" s="1">
        <v>1</v>
      </c>
      <c r="I31" s="1"/>
      <c r="J31" s="1"/>
      <c r="K31" s="4" t="s">
        <v>934</v>
      </c>
      <c r="L31" t="s">
        <v>935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1"/>
  <sheetViews>
    <sheetView tabSelected="1" workbookViewId="0">
      <selection activeCell="E22" sqref="E22"/>
    </sheetView>
  </sheetViews>
  <sheetFormatPr baseColWidth="10" defaultRowHeight="16" x14ac:dyDescent="0.2"/>
  <cols>
    <col min="1" max="1" width="14.33203125" bestFit="1" customWidth="1"/>
    <col min="2" max="2" width="31" bestFit="1" customWidth="1"/>
    <col min="8" max="8" width="30.33203125" bestFit="1" customWidth="1"/>
    <col min="9" max="9" width="29.1640625" bestFit="1" customWidth="1"/>
  </cols>
  <sheetData>
    <row r="1" spans="1:9" ht="17" customHeight="1" thickBot="1" x14ac:dyDescent="0.25">
      <c r="A1" s="13"/>
      <c r="B1" s="14" t="s">
        <v>936</v>
      </c>
      <c r="C1" s="14" t="s">
        <v>937</v>
      </c>
      <c r="D1" s="14" t="s">
        <v>938</v>
      </c>
      <c r="E1" s="14" t="s">
        <v>939</v>
      </c>
      <c r="F1" s="14" t="s">
        <v>940</v>
      </c>
      <c r="G1" s="14" t="s">
        <v>941</v>
      </c>
      <c r="H1" s="14" t="s">
        <v>8</v>
      </c>
      <c r="I1" s="15" t="s">
        <v>9</v>
      </c>
    </row>
    <row r="2" spans="1:9" x14ac:dyDescent="0.2">
      <c r="A2" s="75" t="s">
        <v>942</v>
      </c>
      <c r="B2" s="94"/>
      <c r="C2" s="94"/>
      <c r="D2" s="94"/>
      <c r="E2" s="94"/>
      <c r="F2" s="94"/>
      <c r="G2" s="94"/>
      <c r="H2" s="95"/>
      <c r="I2" s="95"/>
    </row>
    <row r="3" spans="1:9" x14ac:dyDescent="0.2">
      <c r="A3" s="66" t="s">
        <v>943</v>
      </c>
      <c r="B3" s="31" t="s">
        <v>944</v>
      </c>
      <c r="C3" s="32">
        <v>32</v>
      </c>
      <c r="D3" s="32">
        <v>16</v>
      </c>
      <c r="E3" s="31" t="s">
        <v>945</v>
      </c>
      <c r="F3" s="31"/>
      <c r="G3" s="31" t="s">
        <v>946</v>
      </c>
      <c r="H3" s="66" t="s">
        <v>947</v>
      </c>
      <c r="I3" s="66" t="s">
        <v>948</v>
      </c>
    </row>
    <row r="4" spans="1:9" x14ac:dyDescent="0.2">
      <c r="A4" s="66" t="s">
        <v>949</v>
      </c>
      <c r="B4" s="31" t="s">
        <v>950</v>
      </c>
      <c r="C4" s="32">
        <v>27</v>
      </c>
      <c r="D4" s="31" t="s">
        <v>951</v>
      </c>
      <c r="E4" s="31" t="s">
        <v>952</v>
      </c>
      <c r="F4" s="31"/>
      <c r="G4" s="31" t="s">
        <v>953</v>
      </c>
      <c r="H4" s="66" t="s">
        <v>954</v>
      </c>
      <c r="I4" s="66" t="s">
        <v>955</v>
      </c>
    </row>
    <row r="5" spans="1:9" x14ac:dyDescent="0.2">
      <c r="A5" s="66" t="s">
        <v>956</v>
      </c>
      <c r="B5" s="31" t="s">
        <v>957</v>
      </c>
      <c r="C5" s="32">
        <v>27</v>
      </c>
      <c r="D5" s="32">
        <v>16</v>
      </c>
      <c r="E5" s="31" t="s">
        <v>952</v>
      </c>
      <c r="F5" s="31"/>
      <c r="G5" s="31" t="s">
        <v>953</v>
      </c>
      <c r="H5" s="66" t="s">
        <v>958</v>
      </c>
      <c r="I5" s="66" t="s">
        <v>959</v>
      </c>
    </row>
    <row r="6" spans="1:9" x14ac:dyDescent="0.2">
      <c r="A6" s="66" t="s">
        <v>960</v>
      </c>
      <c r="B6" s="31" t="s">
        <v>961</v>
      </c>
      <c r="C6" s="32">
        <v>27</v>
      </c>
      <c r="D6" s="32">
        <v>16</v>
      </c>
      <c r="E6" s="31" t="s">
        <v>952</v>
      </c>
      <c r="F6" s="31"/>
      <c r="G6" s="31" t="s">
        <v>962</v>
      </c>
      <c r="H6" s="66" t="s">
        <v>963</v>
      </c>
      <c r="I6" s="66" t="s">
        <v>964</v>
      </c>
    </row>
    <row r="7" spans="1:9" x14ac:dyDescent="0.2">
      <c r="A7" s="66" t="s">
        <v>965</v>
      </c>
      <c r="B7" s="31" t="s">
        <v>966</v>
      </c>
      <c r="C7" s="32">
        <v>28</v>
      </c>
      <c r="D7" s="32">
        <v>16</v>
      </c>
      <c r="E7" s="31" t="s">
        <v>945</v>
      </c>
      <c r="F7" s="31"/>
      <c r="G7" s="31" t="s">
        <v>967</v>
      </c>
      <c r="H7" s="66" t="s">
        <v>968</v>
      </c>
      <c r="I7" s="66" t="s">
        <v>969</v>
      </c>
    </row>
    <row r="8" spans="1:9" x14ac:dyDescent="0.2">
      <c r="A8" s="66" t="s">
        <v>970</v>
      </c>
      <c r="B8" s="31" t="s">
        <v>971</v>
      </c>
      <c r="C8" s="32">
        <v>27</v>
      </c>
      <c r="D8" s="32">
        <v>16</v>
      </c>
      <c r="E8" s="31" t="s">
        <v>945</v>
      </c>
      <c r="F8" s="31"/>
      <c r="G8" s="31" t="s">
        <v>953</v>
      </c>
      <c r="H8" s="66" t="s">
        <v>972</v>
      </c>
      <c r="I8" s="66" t="s">
        <v>973</v>
      </c>
    </row>
    <row r="9" spans="1:9" x14ac:dyDescent="0.2">
      <c r="A9" s="66" t="s">
        <v>974</v>
      </c>
      <c r="B9" s="31" t="s">
        <v>975</v>
      </c>
      <c r="C9" s="32">
        <v>27</v>
      </c>
      <c r="D9" s="32"/>
      <c r="E9" s="31" t="s">
        <v>945</v>
      </c>
      <c r="F9" s="31"/>
      <c r="G9" s="31" t="s">
        <v>953</v>
      </c>
      <c r="H9" s="66" t="s">
        <v>976</v>
      </c>
      <c r="I9" s="66" t="s">
        <v>977</v>
      </c>
    </row>
    <row r="10" spans="1:9" x14ac:dyDescent="0.2">
      <c r="A10" s="66" t="s">
        <v>978</v>
      </c>
      <c r="B10" s="31" t="s">
        <v>979</v>
      </c>
      <c r="C10" s="32">
        <v>28</v>
      </c>
      <c r="D10" s="32">
        <v>16</v>
      </c>
      <c r="E10" s="32"/>
      <c r="F10" s="31" t="s">
        <v>382</v>
      </c>
      <c r="G10" s="31" t="s">
        <v>967</v>
      </c>
      <c r="H10" s="66" t="s">
        <v>980</v>
      </c>
      <c r="I10" s="66" t="s">
        <v>981</v>
      </c>
    </row>
    <row r="11" spans="1:9" x14ac:dyDescent="0.2">
      <c r="A11" s="66" t="s">
        <v>982</v>
      </c>
      <c r="B11" s="32"/>
      <c r="C11" s="32">
        <v>40</v>
      </c>
      <c r="D11" s="31" t="s">
        <v>983</v>
      </c>
      <c r="E11" s="32"/>
      <c r="F11" s="32"/>
      <c r="G11" s="32"/>
      <c r="H11" s="66" t="s">
        <v>984</v>
      </c>
      <c r="I11" s="6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2"/>
  <sheetViews>
    <sheetView workbookViewId="0">
      <selection activeCell="N44" sqref="N44"/>
    </sheetView>
  </sheetViews>
  <sheetFormatPr baseColWidth="10" defaultRowHeight="16" x14ac:dyDescent="0.2"/>
  <cols>
    <col min="1" max="1" width="15.6640625" bestFit="1" customWidth="1"/>
    <col min="2" max="2" width="11.5" bestFit="1" customWidth="1"/>
    <col min="9" max="9" width="31" bestFit="1" customWidth="1"/>
    <col min="10" max="10" width="32.6640625" bestFit="1" customWidth="1"/>
  </cols>
  <sheetData>
    <row r="1" spans="1:11" ht="17" customHeight="1" thickBot="1" x14ac:dyDescent="0.25">
      <c r="A1" s="13" t="s">
        <v>496</v>
      </c>
      <c r="B1" s="14" t="s">
        <v>985</v>
      </c>
      <c r="C1" s="14" t="s">
        <v>986</v>
      </c>
      <c r="D1" s="14" t="s">
        <v>1074</v>
      </c>
      <c r="E1" s="14" t="s">
        <v>1075</v>
      </c>
      <c r="F1" s="14" t="s">
        <v>987</v>
      </c>
      <c r="G1" s="14" t="s">
        <v>523</v>
      </c>
      <c r="H1" s="14" t="s">
        <v>237</v>
      </c>
      <c r="I1" s="14" t="s">
        <v>141</v>
      </c>
      <c r="J1" s="14" t="s">
        <v>9</v>
      </c>
      <c r="K1" s="92" t="s">
        <v>988</v>
      </c>
    </row>
    <row r="2" spans="1:11" ht="29" customHeight="1" x14ac:dyDescent="0.2">
      <c r="A2" s="96" t="s">
        <v>989</v>
      </c>
      <c r="B2" s="97"/>
      <c r="C2" s="61"/>
      <c r="D2" s="61"/>
      <c r="E2" s="98"/>
      <c r="F2" s="97"/>
      <c r="G2" s="99"/>
      <c r="H2" s="97"/>
      <c r="I2" s="96"/>
      <c r="J2" s="96"/>
      <c r="K2" s="118"/>
    </row>
    <row r="3" spans="1:11" x14ac:dyDescent="0.2">
      <c r="A3" s="100" t="s">
        <v>990</v>
      </c>
      <c r="B3" s="22" t="s">
        <v>985</v>
      </c>
      <c r="C3" s="23">
        <v>7948</v>
      </c>
      <c r="D3" s="23">
        <v>79</v>
      </c>
      <c r="E3" s="52">
        <v>48</v>
      </c>
      <c r="F3" s="101"/>
      <c r="G3" s="23"/>
      <c r="H3" s="23"/>
      <c r="I3" s="79" t="s">
        <v>991</v>
      </c>
      <c r="J3" s="12" t="s">
        <v>992</v>
      </c>
      <c r="K3" s="12">
        <v>32176423</v>
      </c>
    </row>
    <row r="4" spans="1:11" x14ac:dyDescent="0.2">
      <c r="A4" s="100" t="s">
        <v>993</v>
      </c>
      <c r="B4" s="22" t="s">
        <v>985</v>
      </c>
      <c r="C4" s="23">
        <v>7948</v>
      </c>
      <c r="D4" s="23">
        <v>79</v>
      </c>
      <c r="E4" s="52">
        <v>48</v>
      </c>
      <c r="F4" s="52"/>
      <c r="G4" s="22" t="s">
        <v>994</v>
      </c>
      <c r="H4" s="22" t="s">
        <v>384</v>
      </c>
      <c r="I4" s="79" t="s">
        <v>995</v>
      </c>
      <c r="J4" s="12" t="s">
        <v>996</v>
      </c>
      <c r="K4" s="12"/>
    </row>
    <row r="5" spans="1:11" x14ac:dyDescent="0.2">
      <c r="A5" s="100" t="s">
        <v>997</v>
      </c>
      <c r="B5" s="22" t="s">
        <v>985</v>
      </c>
      <c r="C5" s="23">
        <v>7948</v>
      </c>
      <c r="D5" s="23">
        <v>79</v>
      </c>
      <c r="E5" s="52">
        <v>48</v>
      </c>
      <c r="F5" s="52"/>
      <c r="G5" s="23"/>
      <c r="H5" s="22" t="s">
        <v>384</v>
      </c>
      <c r="I5" s="79" t="s">
        <v>995</v>
      </c>
      <c r="J5" s="12"/>
      <c r="K5" s="12">
        <v>32176423</v>
      </c>
    </row>
    <row r="6" spans="1:11" x14ac:dyDescent="0.2">
      <c r="A6" s="100" t="s">
        <v>998</v>
      </c>
      <c r="B6" s="22" t="s">
        <v>985</v>
      </c>
      <c r="C6" s="23">
        <v>7985</v>
      </c>
      <c r="D6" s="23">
        <v>79</v>
      </c>
      <c r="E6" s="23">
        <v>85</v>
      </c>
      <c r="F6" s="23"/>
      <c r="G6" s="23"/>
      <c r="H6" s="23"/>
      <c r="I6" s="79" t="s">
        <v>999</v>
      </c>
      <c r="J6" s="12" t="s">
        <v>1000</v>
      </c>
      <c r="K6" s="12">
        <v>32175175</v>
      </c>
    </row>
    <row r="7" spans="1:11" x14ac:dyDescent="0.2">
      <c r="A7" s="100" t="s">
        <v>1001</v>
      </c>
      <c r="B7" s="22" t="s">
        <v>985</v>
      </c>
      <c r="C7" s="23">
        <v>7985</v>
      </c>
      <c r="D7" s="23">
        <v>79</v>
      </c>
      <c r="E7" s="23">
        <v>85</v>
      </c>
      <c r="F7" s="23"/>
      <c r="G7" s="22" t="s">
        <v>994</v>
      </c>
      <c r="H7" s="22"/>
      <c r="I7" s="79" t="s">
        <v>1002</v>
      </c>
      <c r="J7" s="12" t="s">
        <v>1003</v>
      </c>
      <c r="K7" s="12">
        <v>32175175</v>
      </c>
    </row>
    <row r="8" spans="1:11" x14ac:dyDescent="0.2">
      <c r="A8" s="100" t="s">
        <v>1004</v>
      </c>
      <c r="B8" s="22" t="s">
        <v>985</v>
      </c>
      <c r="C8" s="23">
        <v>7985</v>
      </c>
      <c r="D8" s="23">
        <v>79</v>
      </c>
      <c r="E8" s="23" t="s">
        <v>1005</v>
      </c>
      <c r="F8" s="22"/>
      <c r="G8" s="22"/>
      <c r="H8" s="23"/>
      <c r="I8" s="79" t="s">
        <v>1006</v>
      </c>
      <c r="J8" s="12" t="s">
        <v>1000</v>
      </c>
      <c r="K8" s="12">
        <v>32175175</v>
      </c>
    </row>
    <row r="9" spans="1:11" x14ac:dyDescent="0.2">
      <c r="A9" s="100" t="s">
        <v>1007</v>
      </c>
      <c r="B9" s="22" t="s">
        <v>985</v>
      </c>
      <c r="C9" s="23">
        <v>7985</v>
      </c>
      <c r="D9" s="23">
        <v>79</v>
      </c>
      <c r="E9" s="23" t="s">
        <v>1005</v>
      </c>
      <c r="F9" s="22"/>
      <c r="G9" s="22" t="s">
        <v>994</v>
      </c>
      <c r="H9" s="23"/>
      <c r="I9" s="79" t="s">
        <v>1006</v>
      </c>
      <c r="J9" s="12" t="s">
        <v>1008</v>
      </c>
      <c r="K9" s="12">
        <v>32175175</v>
      </c>
    </row>
    <row r="10" spans="1:11" x14ac:dyDescent="0.2">
      <c r="A10" s="100" t="s">
        <v>1009</v>
      </c>
      <c r="B10" s="22" t="s">
        <v>985</v>
      </c>
      <c r="C10" s="23">
        <v>7985</v>
      </c>
      <c r="D10" s="23">
        <v>79</v>
      </c>
      <c r="E10" s="23" t="s">
        <v>1005</v>
      </c>
      <c r="F10" s="22"/>
      <c r="G10" s="22" t="s">
        <v>994</v>
      </c>
      <c r="H10" s="22" t="s">
        <v>384</v>
      </c>
      <c r="I10" s="79" t="s">
        <v>1006</v>
      </c>
      <c r="J10" s="12" t="s">
        <v>1010</v>
      </c>
      <c r="K10" s="12"/>
    </row>
    <row r="11" spans="1:11" x14ac:dyDescent="0.2">
      <c r="B11" s="1"/>
      <c r="C11" s="1"/>
      <c r="D11" s="1"/>
      <c r="E11" s="1"/>
      <c r="F11" s="1"/>
      <c r="G11" s="1"/>
      <c r="H11" s="1"/>
      <c r="I11" s="102"/>
    </row>
    <row r="12" spans="1:11" x14ac:dyDescent="0.2">
      <c r="A12" s="83" t="s">
        <v>1011</v>
      </c>
      <c r="B12" s="1"/>
      <c r="C12" s="1"/>
      <c r="D12" s="1"/>
      <c r="E12" s="1"/>
      <c r="F12" s="1"/>
      <c r="G12" s="1"/>
      <c r="H12" s="1"/>
      <c r="I12" s="102"/>
    </row>
    <row r="13" spans="1:11" x14ac:dyDescent="0.2">
      <c r="A13" s="100" t="s">
        <v>1012</v>
      </c>
      <c r="B13" s="22" t="s">
        <v>985</v>
      </c>
      <c r="C13" s="23">
        <v>8033</v>
      </c>
      <c r="D13" s="23">
        <v>80</v>
      </c>
      <c r="E13" s="23">
        <v>33</v>
      </c>
      <c r="F13" s="23"/>
      <c r="G13" s="23"/>
      <c r="H13" s="23"/>
      <c r="I13" s="79" t="s">
        <v>1013</v>
      </c>
      <c r="J13" s="12" t="s">
        <v>1014</v>
      </c>
      <c r="K13" s="23">
        <v>32178446</v>
      </c>
    </row>
    <row r="14" spans="1:11" x14ac:dyDescent="0.2">
      <c r="A14" s="100" t="s">
        <v>1015</v>
      </c>
      <c r="B14" s="22" t="s">
        <v>985</v>
      </c>
      <c r="C14" s="23">
        <v>8033</v>
      </c>
      <c r="D14" s="23">
        <v>80</v>
      </c>
      <c r="E14" s="23">
        <v>33</v>
      </c>
      <c r="F14" s="23"/>
      <c r="G14" s="23"/>
      <c r="H14" s="22" t="s">
        <v>384</v>
      </c>
      <c r="I14" s="79" t="s">
        <v>1013</v>
      </c>
      <c r="J14" s="12" t="s">
        <v>1016</v>
      </c>
      <c r="K14" s="23">
        <v>32178446</v>
      </c>
    </row>
    <row r="15" spans="1:11" x14ac:dyDescent="0.2">
      <c r="A15" s="100" t="s">
        <v>1017</v>
      </c>
      <c r="B15" s="22" t="s">
        <v>985</v>
      </c>
      <c r="C15" s="23">
        <v>8036</v>
      </c>
      <c r="D15" s="23">
        <v>80</v>
      </c>
      <c r="E15" s="23">
        <v>36</v>
      </c>
      <c r="F15" s="23"/>
      <c r="G15" s="22" t="s">
        <v>383</v>
      </c>
      <c r="H15" s="22" t="s">
        <v>384</v>
      </c>
      <c r="I15" s="79" t="s">
        <v>1018</v>
      </c>
      <c r="J15" s="12" t="s">
        <v>1019</v>
      </c>
      <c r="K15" s="23">
        <v>32178555</v>
      </c>
    </row>
    <row r="16" spans="1:11" x14ac:dyDescent="0.2">
      <c r="A16" s="100" t="s">
        <v>1020</v>
      </c>
      <c r="B16" s="22" t="s">
        <v>985</v>
      </c>
      <c r="C16" s="23">
        <v>8036</v>
      </c>
      <c r="D16" s="23">
        <v>80</v>
      </c>
      <c r="E16" s="23">
        <v>36</v>
      </c>
      <c r="F16" s="23"/>
      <c r="G16" s="23"/>
      <c r="H16" s="22" t="s">
        <v>384</v>
      </c>
      <c r="I16" s="79" t="s">
        <v>1018</v>
      </c>
      <c r="J16" s="12" t="s">
        <v>1021</v>
      </c>
      <c r="K16" s="23">
        <v>32178555</v>
      </c>
    </row>
    <row r="17" spans="1:11" x14ac:dyDescent="0.2">
      <c r="A17" s="100" t="s">
        <v>1022</v>
      </c>
      <c r="B17" s="22" t="s">
        <v>985</v>
      </c>
      <c r="C17" s="23">
        <v>8038</v>
      </c>
      <c r="D17" s="23">
        <v>80</v>
      </c>
      <c r="E17" s="23">
        <v>38</v>
      </c>
      <c r="F17" s="23"/>
      <c r="G17" s="23"/>
      <c r="H17" s="23"/>
      <c r="I17" s="79" t="s">
        <v>1023</v>
      </c>
      <c r="J17" s="12" t="s">
        <v>1024</v>
      </c>
      <c r="K17" s="23">
        <v>32178851</v>
      </c>
    </row>
    <row r="18" spans="1:11" x14ac:dyDescent="0.2">
      <c r="A18" s="100" t="s">
        <v>1025</v>
      </c>
      <c r="B18" s="22" t="s">
        <v>985</v>
      </c>
      <c r="C18" s="23">
        <v>8040</v>
      </c>
      <c r="D18" s="23">
        <v>80</v>
      </c>
      <c r="E18" s="23">
        <v>40</v>
      </c>
      <c r="F18" s="23"/>
      <c r="G18" s="23"/>
      <c r="H18" s="23"/>
      <c r="I18" s="79" t="s">
        <v>1026</v>
      </c>
      <c r="J18" s="12" t="s">
        <v>1024</v>
      </c>
      <c r="K18" s="23">
        <v>321710181</v>
      </c>
    </row>
    <row r="19" spans="1:11" x14ac:dyDescent="0.2">
      <c r="A19" s="66"/>
      <c r="B19" s="2"/>
      <c r="C19" s="1"/>
      <c r="D19" s="1"/>
      <c r="E19" s="1"/>
      <c r="F19" s="1"/>
      <c r="G19" s="1"/>
      <c r="H19" s="1"/>
      <c r="I19" s="102"/>
      <c r="K19" s="1"/>
    </row>
    <row r="20" spans="1:11" x14ac:dyDescent="0.2">
      <c r="A20" s="75" t="s">
        <v>1027</v>
      </c>
      <c r="B20" s="2"/>
      <c r="C20" s="1"/>
      <c r="D20" s="1"/>
      <c r="E20" s="1"/>
      <c r="F20" s="1"/>
      <c r="G20" s="1"/>
      <c r="H20" s="1"/>
      <c r="I20" s="102"/>
      <c r="K20" s="1"/>
    </row>
    <row r="21" spans="1:11" x14ac:dyDescent="0.2">
      <c r="A21" s="100" t="s">
        <v>1028</v>
      </c>
      <c r="B21" s="22" t="s">
        <v>985</v>
      </c>
      <c r="C21" s="23">
        <v>8006</v>
      </c>
      <c r="D21" s="23">
        <v>80</v>
      </c>
      <c r="E21" s="52" t="s">
        <v>1029</v>
      </c>
      <c r="F21" s="23"/>
      <c r="G21" s="23"/>
      <c r="H21" s="23"/>
      <c r="I21" s="79" t="s">
        <v>1030</v>
      </c>
      <c r="J21" s="12" t="s">
        <v>1031</v>
      </c>
      <c r="K21" s="23"/>
    </row>
    <row r="22" spans="1:11" x14ac:dyDescent="0.2">
      <c r="B22" s="2"/>
      <c r="C22" s="1"/>
      <c r="D22" s="1"/>
      <c r="E22" s="3"/>
      <c r="F22" s="1"/>
      <c r="G22" s="1"/>
      <c r="H22" s="1"/>
      <c r="I22" s="102"/>
      <c r="K22" s="1"/>
    </row>
    <row r="23" spans="1:11" x14ac:dyDescent="0.2">
      <c r="A23" s="83" t="s">
        <v>1032</v>
      </c>
      <c r="B23" s="1"/>
      <c r="C23" s="1"/>
      <c r="D23" s="1"/>
      <c r="E23" s="1"/>
      <c r="F23" s="1"/>
      <c r="G23" s="1"/>
      <c r="H23" s="1"/>
      <c r="I23" s="102"/>
    </row>
    <row r="24" spans="1:11" x14ac:dyDescent="0.2">
      <c r="A24" s="100" t="s">
        <v>1033</v>
      </c>
      <c r="B24" s="22" t="s">
        <v>985</v>
      </c>
      <c r="C24" s="23">
        <v>7471</v>
      </c>
      <c r="D24" s="23">
        <v>74</v>
      </c>
      <c r="E24" s="23">
        <v>71</v>
      </c>
      <c r="F24" s="23"/>
      <c r="G24" s="23"/>
      <c r="H24" s="23"/>
      <c r="I24" s="79" t="s">
        <v>1034</v>
      </c>
      <c r="J24" s="12" t="s">
        <v>1035</v>
      </c>
      <c r="K24" s="23">
        <v>32173362</v>
      </c>
    </row>
    <row r="25" spans="1:11" x14ac:dyDescent="0.2">
      <c r="A25" s="100" t="s">
        <v>1036</v>
      </c>
      <c r="B25" s="22" t="s">
        <v>985</v>
      </c>
      <c r="C25" s="23">
        <v>7471</v>
      </c>
      <c r="D25" s="23">
        <v>74</v>
      </c>
      <c r="E25" s="23">
        <v>71</v>
      </c>
      <c r="F25" s="22" t="s">
        <v>443</v>
      </c>
      <c r="G25" s="23"/>
      <c r="H25" s="23"/>
      <c r="I25" s="79" t="s">
        <v>1037</v>
      </c>
      <c r="J25" s="12" t="s">
        <v>1038</v>
      </c>
      <c r="K25" s="23">
        <v>32178310</v>
      </c>
    </row>
    <row r="26" spans="1:11" x14ac:dyDescent="0.2">
      <c r="A26" s="100" t="s">
        <v>1039</v>
      </c>
      <c r="B26" s="22" t="s">
        <v>985</v>
      </c>
      <c r="C26" s="23">
        <v>7471</v>
      </c>
      <c r="D26" s="23">
        <v>74</v>
      </c>
      <c r="E26" s="23">
        <v>71</v>
      </c>
      <c r="F26" s="23"/>
      <c r="G26" s="22" t="s">
        <v>383</v>
      </c>
      <c r="H26" s="23"/>
      <c r="I26" s="79" t="s">
        <v>1040</v>
      </c>
      <c r="J26" s="12" t="s">
        <v>1035</v>
      </c>
      <c r="K26" s="23"/>
    </row>
    <row r="27" spans="1:11" x14ac:dyDescent="0.2">
      <c r="A27" s="12"/>
      <c r="B27" s="22"/>
      <c r="C27" s="23"/>
      <c r="D27" s="23"/>
      <c r="E27" s="23"/>
      <c r="F27" s="23"/>
      <c r="G27" s="23"/>
      <c r="H27" s="23"/>
      <c r="I27" s="79"/>
      <c r="J27" s="12"/>
      <c r="K27" s="23"/>
    </row>
    <row r="28" spans="1:11" x14ac:dyDescent="0.2">
      <c r="A28" s="100" t="s">
        <v>1041</v>
      </c>
      <c r="B28" s="22" t="s">
        <v>985</v>
      </c>
      <c r="C28" s="23">
        <v>7479</v>
      </c>
      <c r="D28" s="23">
        <v>74</v>
      </c>
      <c r="E28" s="23">
        <v>79</v>
      </c>
      <c r="F28" s="23"/>
      <c r="G28" s="23"/>
      <c r="H28" s="23"/>
      <c r="I28" s="79" t="s">
        <v>1042</v>
      </c>
      <c r="J28" s="12" t="s">
        <v>1043</v>
      </c>
      <c r="K28" s="23">
        <v>32175066</v>
      </c>
    </row>
    <row r="29" spans="1:11" x14ac:dyDescent="0.2">
      <c r="A29" s="100" t="s">
        <v>1044</v>
      </c>
      <c r="B29" s="103" t="s">
        <v>985</v>
      </c>
      <c r="C29" s="104">
        <v>7480</v>
      </c>
      <c r="D29" s="104">
        <v>74</v>
      </c>
      <c r="E29" s="104">
        <v>80</v>
      </c>
      <c r="F29" s="104"/>
      <c r="G29" s="104"/>
      <c r="H29" s="104"/>
      <c r="I29" s="105" t="s">
        <v>1045</v>
      </c>
      <c r="J29" s="106" t="s">
        <v>1046</v>
      </c>
      <c r="K29" s="23">
        <v>32175676</v>
      </c>
    </row>
    <row r="30" spans="1:11" x14ac:dyDescent="0.2">
      <c r="A30" s="12"/>
      <c r="B30" s="22"/>
      <c r="C30" s="23"/>
      <c r="D30" s="23"/>
      <c r="E30" s="23"/>
      <c r="F30" s="23"/>
      <c r="G30" s="23"/>
      <c r="H30" s="23"/>
      <c r="I30" s="79"/>
      <c r="J30" s="12"/>
      <c r="K30" s="23"/>
    </row>
    <row r="31" spans="1:11" x14ac:dyDescent="0.2">
      <c r="A31" s="12"/>
      <c r="B31" s="22"/>
      <c r="C31" s="23"/>
      <c r="D31" s="23"/>
      <c r="E31" s="23"/>
      <c r="F31" s="23"/>
      <c r="G31" s="22"/>
      <c r="H31" s="23"/>
      <c r="I31" s="79"/>
      <c r="J31" s="12"/>
      <c r="K31" s="23"/>
    </row>
    <row r="32" spans="1:11" x14ac:dyDescent="0.2">
      <c r="A32" s="12"/>
      <c r="B32" s="22"/>
      <c r="C32" s="23"/>
      <c r="D32" s="23"/>
      <c r="E32" s="23"/>
      <c r="F32" s="23"/>
      <c r="G32" s="23"/>
      <c r="H32" s="23"/>
      <c r="I32" s="79"/>
      <c r="J32" s="12"/>
      <c r="K32" s="23"/>
    </row>
    <row r="33" spans="1:11" x14ac:dyDescent="0.2">
      <c r="A33" s="83"/>
      <c r="B33" s="1"/>
      <c r="C33" s="1"/>
      <c r="D33" s="1"/>
      <c r="E33" s="1"/>
      <c r="F33" s="1"/>
      <c r="G33" s="1"/>
      <c r="H33" s="1"/>
      <c r="I33" s="102"/>
    </row>
    <row r="34" spans="1:11" x14ac:dyDescent="0.2">
      <c r="A34" s="12" t="s">
        <v>1047</v>
      </c>
      <c r="B34" s="22" t="s">
        <v>985</v>
      </c>
      <c r="C34" s="23">
        <v>7507</v>
      </c>
      <c r="D34" s="23">
        <v>75</v>
      </c>
      <c r="E34" s="52" t="s">
        <v>1048</v>
      </c>
      <c r="F34" s="23"/>
      <c r="G34" s="22" t="s">
        <v>383</v>
      </c>
      <c r="H34" s="23"/>
      <c r="I34" s="79" t="s">
        <v>1049</v>
      </c>
      <c r="J34" s="12" t="s">
        <v>1050</v>
      </c>
      <c r="K34" s="23"/>
    </row>
    <row r="35" spans="1:11" x14ac:dyDescent="0.2">
      <c r="A35" s="12" t="s">
        <v>1051</v>
      </c>
      <c r="B35" s="22" t="s">
        <v>985</v>
      </c>
      <c r="C35" s="23">
        <v>7507</v>
      </c>
      <c r="D35" s="23">
        <v>75</v>
      </c>
      <c r="E35" s="23">
        <v>13</v>
      </c>
      <c r="F35" s="23"/>
      <c r="G35" s="22" t="s">
        <v>383</v>
      </c>
      <c r="H35" s="23"/>
      <c r="I35" s="79" t="s">
        <v>1052</v>
      </c>
      <c r="J35" s="12" t="s">
        <v>1053</v>
      </c>
      <c r="K35" s="23">
        <v>32178352</v>
      </c>
    </row>
    <row r="36" spans="1:11" x14ac:dyDescent="0.2">
      <c r="A36" s="12" t="s">
        <v>1054</v>
      </c>
      <c r="B36" s="22" t="s">
        <v>985</v>
      </c>
      <c r="C36" s="23">
        <v>7513</v>
      </c>
      <c r="D36" s="23">
        <v>75</v>
      </c>
      <c r="E36" s="23">
        <v>13</v>
      </c>
      <c r="F36" s="23"/>
      <c r="G36" s="22" t="s">
        <v>383</v>
      </c>
      <c r="H36" s="22" t="s">
        <v>384</v>
      </c>
      <c r="I36" s="79" t="s">
        <v>1052</v>
      </c>
      <c r="J36" s="12" t="s">
        <v>1055</v>
      </c>
      <c r="K36" s="23"/>
    </row>
    <row r="37" spans="1:11" x14ac:dyDescent="0.2">
      <c r="A37" s="12" t="s">
        <v>1056</v>
      </c>
      <c r="B37" s="22" t="s">
        <v>985</v>
      </c>
      <c r="C37" s="23">
        <v>7523</v>
      </c>
      <c r="D37" s="23">
        <v>75</v>
      </c>
      <c r="E37" s="23">
        <v>23</v>
      </c>
      <c r="F37" s="23"/>
      <c r="G37" s="23"/>
      <c r="H37" s="23"/>
      <c r="I37" s="79" t="s">
        <v>1057</v>
      </c>
      <c r="J37" s="12" t="s">
        <v>1058</v>
      </c>
      <c r="K37" s="23">
        <v>32178735</v>
      </c>
    </row>
    <row r="38" spans="1:11" x14ac:dyDescent="0.2">
      <c r="A38" s="12" t="s">
        <v>1059</v>
      </c>
      <c r="B38" s="22" t="s">
        <v>985</v>
      </c>
      <c r="C38" s="23">
        <v>7523</v>
      </c>
      <c r="D38" s="23">
        <v>75</v>
      </c>
      <c r="E38" s="23">
        <v>23</v>
      </c>
      <c r="F38" s="23"/>
      <c r="G38" s="22" t="s">
        <v>383</v>
      </c>
      <c r="H38" s="23"/>
      <c r="I38" s="79" t="s">
        <v>1057</v>
      </c>
      <c r="J38" s="12" t="s">
        <v>1060</v>
      </c>
      <c r="K38" s="23"/>
    </row>
    <row r="39" spans="1:11" x14ac:dyDescent="0.2">
      <c r="A39" s="12" t="s">
        <v>1061</v>
      </c>
      <c r="B39" s="22" t="s">
        <v>985</v>
      </c>
      <c r="C39" s="23">
        <v>7525</v>
      </c>
      <c r="D39" s="23">
        <v>75</v>
      </c>
      <c r="E39" s="23">
        <v>25</v>
      </c>
      <c r="F39" s="23"/>
      <c r="G39" s="23"/>
      <c r="H39" s="23"/>
      <c r="I39" s="79" t="s">
        <v>1062</v>
      </c>
      <c r="J39" s="12" t="s">
        <v>1063</v>
      </c>
      <c r="K39" s="23">
        <v>32178782</v>
      </c>
    </row>
    <row r="40" spans="1:11" x14ac:dyDescent="0.2">
      <c r="A40" s="12" t="s">
        <v>1064</v>
      </c>
      <c r="B40" s="22" t="s">
        <v>985</v>
      </c>
      <c r="C40" s="23">
        <v>7525</v>
      </c>
      <c r="D40" s="23">
        <v>75</v>
      </c>
      <c r="E40" s="23">
        <v>25</v>
      </c>
      <c r="F40" s="23"/>
      <c r="G40" s="22" t="s">
        <v>383</v>
      </c>
      <c r="H40" s="23"/>
      <c r="I40" s="79" t="s">
        <v>1065</v>
      </c>
      <c r="J40" s="12" t="s">
        <v>1066</v>
      </c>
      <c r="K40" s="23"/>
    </row>
    <row r="41" spans="1:11" x14ac:dyDescent="0.2">
      <c r="A41" s="12" t="s">
        <v>1067</v>
      </c>
      <c r="B41" s="22" t="s">
        <v>985</v>
      </c>
      <c r="C41" s="23">
        <v>7526</v>
      </c>
      <c r="D41" s="23">
        <v>75</v>
      </c>
      <c r="E41" s="23">
        <v>26</v>
      </c>
      <c r="F41" s="23"/>
      <c r="G41" s="23"/>
      <c r="H41" s="23"/>
      <c r="I41" s="79" t="s">
        <v>1068</v>
      </c>
      <c r="J41" s="12" t="s">
        <v>1069</v>
      </c>
      <c r="K41" s="23">
        <v>32178789</v>
      </c>
    </row>
    <row r="42" spans="1:11" x14ac:dyDescent="0.2">
      <c r="A42" s="107" t="s">
        <v>1070</v>
      </c>
      <c r="B42" s="108" t="s">
        <v>985</v>
      </c>
      <c r="C42" s="109">
        <v>7528</v>
      </c>
      <c r="D42" s="109">
        <v>75</v>
      </c>
      <c r="E42" s="109">
        <v>28</v>
      </c>
      <c r="F42" s="109"/>
      <c r="G42" s="109"/>
      <c r="H42" s="109"/>
      <c r="I42" s="110" t="s">
        <v>1071</v>
      </c>
      <c r="J42" s="107" t="s">
        <v>1072</v>
      </c>
      <c r="K42" s="109">
        <v>32179884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Bolt Matrix</vt:lpstr>
      <vt:lpstr>Strand Matrix</vt:lpstr>
      <vt:lpstr>Cable Matrix</vt:lpstr>
      <vt:lpstr>DYWI-GRiP</vt:lpstr>
      <vt:lpstr>Plate Matrix</vt:lpstr>
      <vt:lpstr>Butterfly</vt:lpstr>
      <vt:lpstr>Dragonfly</vt:lpstr>
      <vt:lpstr>W-Strap Codes</vt:lpstr>
      <vt:lpstr>Friction Bolts</vt:lpstr>
      <vt:lpstr>Mesh Matrix</vt:lpstr>
      <vt:lpstr>Dollies &amp; Spanners Coal</vt:lpstr>
      <vt:lpstr>Dollies &amp; Spanners Hardrock</vt:lpstr>
      <vt:lpstr>Resin anchors</vt:lpstr>
      <vt:lpstr>Bits for catalogue</vt:lpstr>
      <vt:lpstr>Mine Hangers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Sufarhan</dc:creator>
  <cp:lastModifiedBy>Sufarhan</cp:lastModifiedBy>
  <dcterms:created xsi:type="dcterms:W3CDTF">2025-12-15T10:06:16Z</dcterms:created>
  <dcterms:modified xsi:type="dcterms:W3CDTF">2026-01-12T12:19:51Z</dcterms:modified>
</cp:coreProperties>
</file>